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codeName="ThisWorkbook" defaultThemeVersion="166925"/>
  <mc:AlternateContent xmlns:mc="http://schemas.openxmlformats.org/markup-compatibility/2006">
    <mc:Choice Requires="x15">
      <x15ac:absPath xmlns:x15ac="http://schemas.microsoft.com/office/spreadsheetml/2010/11/ac" url="C:\Users\pim\Documents\SimulacionNoCountry\S07-26-Team13\Data Analyst\"/>
    </mc:Choice>
  </mc:AlternateContent>
  <xr:revisionPtr revIDLastSave="0" documentId="8_{53E08E05-BAA3-4B82-AB29-1178FA9D8F0B}" xr6:coauthVersionLast="40" xr6:coauthVersionMax="40" xr10:uidLastSave="{00000000-0000-0000-0000-000000000000}"/>
  <bookViews>
    <workbookView xWindow="0" yWindow="0" windowWidth="13224" windowHeight="5340" firstSheet="4" activeTab="5" xr2:uid="{7B7517FA-4158-4683-86D2-153934142537}"/>
  </bookViews>
  <sheets>
    <sheet name="Guia" sheetId="3" r:id="rId1"/>
    <sheet name="glosario" sheetId="8" r:id="rId2"/>
    <sheet name="Audience Roles Validation Matri" sheetId="7" r:id="rId3"/>
    <sheet name="Project Research Plan" sheetId="2" r:id="rId4"/>
    <sheet name="Audience Research Database" sheetId="10" r:id="rId5"/>
    <sheet name="Fecuencia-KPis" sheetId="6" r:id="rId6"/>
    <sheet name="Frecuencia-herramientas" sheetId="9" r:id="rId7"/>
    <sheet name="Frecuencia de dolor" sheetId="12" r:id="rId8"/>
    <sheet name="Insight" sheetId="11"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<sst xmlns="http://schemas.openxmlformats.org/spreadsheetml/2006/main" count="450" uniqueCount="359">
  <si>
    <t>Cargo encontrado</t>
  </si>
  <si>
    <t>Empresa</t>
  </si>
  <si>
    <t>Responsabilidades relevantes</t>
  </si>
  <si>
    <t>Data Center Operations Director</t>
  </si>
  <si>
    <t>Prioridad</t>
  </si>
  <si>
    <t>Objetivo de investigación</t>
  </si>
  <si>
    <t>Método de validación</t>
  </si>
  <si>
    <t>Entregable esperado</t>
  </si>
  <si>
    <t>Estado</t>
  </si>
  <si>
    <t>🔴 Alta</t>
  </si>
  <si>
    <t>Validar KPIs utilizados por la industria</t>
  </si>
  <si>
    <t>Validar el dolor principal del operador</t>
  </si>
  <si>
    <t>🟡 Media</t>
  </si>
  <si>
    <t>Validar canales de información y factores de confianza</t>
  </si>
  <si>
    <t>Sintetizar los hallazgos</t>
  </si>
  <si>
    <r>
      <t xml:space="preserve">A partir de ahora, </t>
    </r>
    <r>
      <rPr>
        <b/>
        <sz val="11"/>
        <color theme="1"/>
        <rFont val="Calibri"/>
        <family val="2"/>
        <scheme val="minor"/>
      </rPr>
      <t>cada vez que alguien encuentre información</t>
    </r>
    <r>
      <rPr>
        <sz val="11"/>
        <color theme="1"/>
        <rFont val="Calibri"/>
        <family val="2"/>
        <scheme val="minor"/>
      </rPr>
      <t>, háganse siempre estas tres preguntas antes de agregarla al informe:</t>
    </r>
  </si>
  <si>
    <t>1. ¿Qué pregunta del proyecto responde?</t>
  </si>
  <si>
    <t>2. ¿Cómo la validamos?</t>
  </si>
  <si>
    <t>3. ¿Qué decisión le permite tomar a Marketing?</t>
  </si>
  <si>
    <t>Si una información no supera esas tres preguntas, probablemente no sea prioritaria para los entregables. Esa forma de filtrar evidencia les va a ahorrar mucho tiempo en estos dos días y va a hacer que el documento final sea mucho más estratégico.</t>
  </si>
  <si>
    <t>Criterio de calidad de la investigación</t>
  </si>
  <si>
    <t>Ningún hallazgo se incorpora al informe sin una fuente verificable.</t>
  </si>
  <si>
    <t>Siempre que sea posible, cada hallazgo debe estar respaldado por al menos dos fuentes independientes.</t>
  </si>
  <si>
    <t>Perplexity se utiliza como herramienta de exploración. La validación se realiza mediante fuentes primarias (sitios oficiales, ofertas laborales, reportes de la industria, publicaciones especializadas y documentación técnica).</t>
  </si>
  <si>
    <t>GUIA INVESTIGACION</t>
  </si>
  <si>
    <t>ID</t>
  </si>
  <si>
    <t>Pregunta de Negocio</t>
  </si>
  <si>
    <t>Evidencia (¿Qué encontramos?)</t>
  </si>
  <si>
    <t>Fuentes validadas</t>
  </si>
  <si>
    <t>Nivel de confianza</t>
  </si>
  <si>
    <t>Insight (¿Qué significa?)</t>
  </si>
  <si>
    <t>Implicancia para Marketing</t>
  </si>
  <si>
    <t>¿Quién es nuestro operador objetivo?</t>
  </si>
  <si>
    <t>Alta</t>
  </si>
  <si>
    <t>¿Cuáles son sus responsabilidades?</t>
  </si>
  <si>
    <t>¿Cuáles son sus KPIs?</t>
  </si>
  <si>
    <t>¿Cuál es su principal dolor?</t>
  </si>
  <si>
    <t>¿Por qué ese dolor es urgente hoy?</t>
  </si>
  <si>
    <t>¿Qué decisiones toma en su día a día?</t>
  </si>
  <si>
    <t>¿Qué información necesita para convencer a otros?</t>
  </si>
  <si>
    <t>¿Qué haría que confiara en una calculadora gratuita?</t>
  </si>
  <si>
    <t>¿Dónde consume información?</t>
  </si>
  <si>
    <t>Media</t>
  </si>
  <si>
    <t>¿Qué lo hace compartir contenido?</t>
  </si>
  <si>
    <t>¿Cómo comunican los competidores?</t>
  </si>
  <si>
    <t>¿Qué oportunidades detectamos para diferenciarnos?</t>
  </si>
  <si>
    <t>Argentina</t>
  </si>
  <si>
    <t>Unblock Computing</t>
  </si>
  <si>
    <t>https://www.linkedin.com/jobs/view/4412179287/</t>
  </si>
  <si>
    <t>Colombia</t>
  </si>
  <si>
    <t>https://www.linkedin.com/jobs/view/4441583120/</t>
  </si>
  <si>
    <t>https://www.linkedin.com/jobs/view/4436610601/</t>
  </si>
  <si>
    <t>https://www.linkedin.com/jobs/view/4443046613/</t>
  </si>
  <si>
    <t>Chile</t>
  </si>
  <si>
    <t>AWS</t>
  </si>
  <si>
    <t>https://www.linkedin.com/jobs/view/4443043652/</t>
  </si>
  <si>
    <t>https://www.linkedin.com/jobs/view/4440930957/</t>
  </si>
  <si>
    <t>Brasil</t>
  </si>
  <si>
    <t>Data Center Facility Manager</t>
  </si>
  <si>
    <t>Ascenty</t>
  </si>
  <si>
    <t>Gerente de Campus</t>
  </si>
  <si>
    <t>https://www.linkedin.com/jobs/view/4422678014/</t>
  </si>
  <si>
    <t>Tipo de empresa</t>
  </si>
  <si>
    <t>País</t>
  </si>
  <si>
    <t>Nivel de decisión</t>
  </si>
  <si>
    <t>Coincide con audiencia</t>
  </si>
  <si>
    <t>KPIs / Objetivos mencionados</t>
  </si>
  <si>
    <t>Herramientas / Tecnologías</t>
  </si>
  <si>
    <t>Observaciones e Insights</t>
  </si>
  <si>
    <t>Edge Computing</t>
  </si>
  <si>
    <t>Estratégico</t>
  </si>
  <si>
    <t>✅ Sí</t>
  </si>
  <si>
    <t>Operación de centros de cómputo distribuidos y misión crítica en entornos remotos.</t>
  </si>
  <si>
    <t>Uptime, continuidad operativa, eficiencia energética.</t>
  </si>
  <si>
    <t>Sistemas industriales, monitoreo local.</t>
  </si>
  <si>
    <t>Data Center Operations Manager</t>
  </si>
  <si>
    <t>Hyperscaler</t>
  </si>
  <si>
    <t>Táctico</t>
  </si>
  <si>
    <t>Coordinar flujos de trabajo técnicos, priorizar operaciones, mantenimiento de equipos de energía y enfriamiento.</t>
  </si>
  <si>
    <t>Infinite capacity at lowest cost, SLA.</t>
  </si>
  <si>
    <t>Servidores, almacenamiento, red, sistemas de potencia y refrigeración.</t>
  </si>
  <si>
    <t>Senior Manager Datacenter Engineering Operations</t>
  </si>
  <si>
    <t>✅ Sí (Director/VP)</t>
  </si>
  <si>
    <t>Liderar gerentes de instalaciones, liderar cultura de seguridad, gestión de incidentes críticos, mejora continua.</t>
  </si>
  <si>
    <t>Uptime ininterrumpido, capacidad competitiva.</t>
  </si>
  <si>
    <t>UPS, Switchgear, ATS, generadores, chillers, metodologías Kaizen / Six Sigma.</t>
  </si>
  <si>
    <t>Funciona como un "manager de managers"; audita la eficiencia global y busca eliminar el desperdicio operativo.</t>
  </si>
  <si>
    <t>Colocation</t>
  </si>
  <si>
    <t>Gestión integral de mantenimiento crítico, control del presupuesto operativo, supervisión de eficiencia energética y presentación de resultados a clientes.</t>
  </si>
  <si>
    <t>Eficiencia energética, budget operativo, cumplimiento de contratos (SLAs).</t>
  </si>
  <si>
    <t>Sistemas de automatización predial, MOP, APR, PT.</t>
  </si>
  <si>
    <t>Jefe de Operaciones Datacenter</t>
  </si>
  <si>
    <t>Hitss</t>
  </si>
  <si>
    <t>Enterprise Services</t>
  </si>
  <si>
    <t>Coordinación de turnos operativos, resolución de incidencias, enlace entre servicios de infraestructura y soporte.</t>
  </si>
  <si>
    <t>Disponibilidad de servicios, tiempos de respuesta.</t>
  </si>
  <si>
    <t>Herramientas de gestión de servicios de TI (ITSM).</t>
  </si>
  <si>
    <t>Representa al integrador de servicios que opera infraestructura para múltiples cuentas corporativas en la región.</t>
  </si>
  <si>
    <t>Líder Facilities Datacenter</t>
  </si>
  <si>
    <t>Operativo</t>
  </si>
  <si>
    <t>Control físico de instalaciones, inspección de sistemas eléctricos y climatización, ejecución de mantenimiento preventivo.</t>
  </si>
  <si>
    <t>Integridad física del sitio, cero caídas por fallas mecánicas.</t>
  </si>
  <si>
    <t>Sistemas de aire acondicionado de precisión, tableros eléctricos.</t>
  </si>
  <si>
    <t>Gestiona la capa más cercana a los "fierros" en un entorno de servicios empresariales.</t>
  </si>
  <si>
    <t>Alibaba Cloud</t>
  </si>
  <si>
    <t>Operación diaria, inspecciones, mantenimiento preventivo de sistemas eléctricos/HVAC, gestión de riesgos de seguridad.</t>
  </si>
  <si>
    <t>PUE, disponibilidad del 99.99%+, cumplimiento de SLAs.</t>
  </si>
  <si>
    <t>BMS, EMS, CMMS, DCIM.</t>
  </si>
  <si>
    <t>Microsoft</t>
  </si>
  <si>
    <t>USA</t>
  </si>
  <si>
    <t>Equinix</t>
  </si>
  <si>
    <t>Digital Realty</t>
  </si>
  <si>
    <t>Google</t>
  </si>
  <si>
    <t>Frecuencia</t>
  </si>
  <si>
    <t>PUE</t>
  </si>
  <si>
    <t>Incident Management</t>
  </si>
  <si>
    <t>Se analizaron 14 ofertas de empresas Hyperscaler, Colocation, Enterprise Services y Edge Computing. Los cargos más frecuentes son Data Center Operations Director, Operations Manager, Facilities Manager, Critical Facilities Manager y VP Operations.</t>
  </si>
  <si>
    <t>LinkedIn Jobs (AWS, Microsoft, Google, Equinix, Digital Realty, Flexential, STACK, Alibaba, Ascenty, Hitss, Unblock)</t>
  </si>
  <si>
    <t>Alto</t>
  </si>
  <si>
    <t>La audiencia está formada por responsables de operar infraestructura crítica y maximizar disponibilidad, eficiencia y capacidad.</t>
  </si>
  <si>
    <t>El contenido debe dirigirse a responsables de operaciones y facilities, no a perfiles puramente de IT.</t>
  </si>
  <si>
    <t>Las responsabilidades comunes incluyen gestión de Power, Cooling, Capacity Planning, mantenimiento, incidentes, proveedores y cumplimiento de SLA.</t>
  </si>
  <si>
    <t>Ofertas laborales analizadas</t>
  </si>
  <si>
    <t>Aunque cambien los títulos, las funciones son muy similares entre empresas.</t>
  </si>
  <si>
    <t>Hablar el lenguaje operativo del día a día y evitar mensajes genéricos.</t>
  </si>
  <si>
    <t>Se repiten Uptime, SLA, PUE, eficiencia energética, utilización de capacidad, costos operativos y disponibilidad.</t>
  </si>
  <si>
    <t>Las decisiones están guiadas por indicadores operativos y financieros.</t>
  </si>
  <si>
    <t>La calculadora debe mostrar resultados usando esos KPIs.</t>
  </si>
  <si>
    <t>Medio-Alto</t>
  </si>
  <si>
    <t>El operador debe aprovechar la infraestructura existente sin comprometer la confiabilidad.</t>
  </si>
  <si>
    <t>Conseguir nuevos MW lleva tiempo; recuperar capacidad existente es más inmediato.</t>
  </si>
  <si>
    <t>Medio</t>
  </si>
  <si>
    <t>El rol equilibra disponibilidad, costos y crecimiento.</t>
  </si>
  <si>
    <t>Bajo</t>
  </si>
  <si>
    <t>Necesita datos que respalden inversiones frente a otras áreas.</t>
  </si>
  <si>
    <t>Schneider, Vertiv, Sunbird, Uptime</t>
  </si>
  <si>
    <t>La confianza depende de la transparencia metodológica y de referencias reconocidas.</t>
  </si>
  <si>
    <t>LinkedIn, Data Center Dynamics, Data Center Knowledge, AFCOM, 7x24 Exchange, Uptime Institute.</t>
  </si>
  <si>
    <t>Investigación previa</t>
  </si>
  <si>
    <t>Es una audiencia técnica que consume contenido especializado.</t>
  </si>
  <si>
    <t>Priorizar LinkedIn y publicaciones de la industria.</t>
  </si>
  <si>
    <t>Comparte contenido útil, respaldado por datos y que facilite conversaciones internas. Los resultados de la calculadora son compartibles.</t>
  </si>
  <si>
    <t>Edelman-LinkedIn + benchmark LinkedIn + documentación de la startup</t>
  </si>
  <si>
    <t>El valor práctico supera al contenido promocional.</t>
  </si>
  <si>
    <t>Diseñar piezas con datos, benchmarks y resultados fáciles de compartir.</t>
  </si>
  <si>
    <t>Schneider, Vertiv, Sunbird y EkkoSense utilizan calculadoras, ROI, benchmarks, casos de uso y contenido técnico.</t>
  </si>
  <si>
    <t>Sitios oficiales de competidores</t>
  </si>
  <si>
    <t>Compiten mediante autoridad técnica y herramientas gratuitas.</t>
  </si>
  <si>
    <t>Diferenciarse por el concepto de Stranded Capacity y el posicionamiento del fundador.</t>
  </si>
  <si>
    <t>La ventaja puede estar en apropiarse del problema antes que del producto.</t>
  </si>
  <si>
    <t>Validar roles y responsabilidades</t>
  </si>
  <si>
    <t>Análisis de 14 ofertas laborales de hyperscalers, colocation, edge computing y enterprise services</t>
  </si>
  <si>
    <t>✅ Matriz de cargos y responsabilidades</t>
  </si>
  <si>
    <t>Completado</t>
  </si>
  <si>
    <t>Ofertas laborales + Uptime Institute + Schneider + Vertiv + Sunbird</t>
  </si>
  <si>
    <t>Tabla de KPIs y frecuencia de aparición</t>
  </si>
  <si>
    <t>Reportes de Uptime Institute, Data Center Dynamics, AFCOM, Gartner, LBNL y competidores</t>
  </si>
  <si>
    <t>Ranking de pain points con evidencia</t>
  </si>
  <si>
    <t>LinkedIn, AFCOM, 7x24 Exchange, publicaciones especializadas y benchmark competitivo</t>
  </si>
  <si>
    <t>Mapa de canales y señales de confianza</t>
  </si>
  <si>
    <t>Integración de toda la evidencia recopilada</t>
  </si>
  <si>
    <t>8–10 insights con formato: Evidencia → Insight → Implicancia para Marketing</t>
  </si>
  <si>
    <t>Documento</t>
  </si>
  <si>
    <t>Nombre</t>
  </si>
  <si>
    <t>Propósito</t>
  </si>
  <si>
    <t>Project Research Plan</t>
  </si>
  <si>
    <t>Planificar qué investigar y hacer seguimiento.</t>
  </si>
  <si>
    <t>Audience Research Database</t>
  </si>
  <si>
    <t>Reunir toda la información encontrada: fuentes, hallazgos, citas, datos de Gartner, Uptime, competidores, LinkedIn, etc.</t>
  </si>
  <si>
    <t>Audience Validation Matrix</t>
  </si>
  <si>
    <t>Validar la audiencia mediante ofertas laborales y demostrar quién es el buyer persona.</t>
  </si>
  <si>
    <t>Research Tracker</t>
  </si>
  <si>
    <t>Transformar la evidencia en insights de negocio e implicancias para Marketing.</t>
  </si>
  <si>
    <t>Audience Research Report</t>
  </si>
  <si>
    <t>Documento final que recibe el equipo de Marketing.</t>
  </si>
  <si>
    <t>ok</t>
  </si>
  <si>
    <t>DCIM</t>
  </si>
  <si>
    <t>CMMS</t>
  </si>
  <si>
    <t>BMS</t>
  </si>
  <si>
    <t>UPS</t>
  </si>
  <si>
    <t>Generadores</t>
  </si>
  <si>
    <t>link</t>
  </si>
  <si>
    <r>
      <t>Valida el rol en operaciones de borde (</t>
    </r>
    <r>
      <rPr>
        <i/>
        <sz val="11"/>
        <color rgb="FF000000"/>
        <rFont val="Arial"/>
        <family val="2"/>
      </rPr>
      <t>Edge</t>
    </r>
    <r>
      <rPr>
        <sz val="11"/>
        <color rgb="FF000000"/>
        <rFont val="Arial"/>
        <family val="2"/>
      </rPr>
      <t>) en el cono sur, conectando infraestructura física y energética.</t>
    </r>
  </si>
  <si>
    <r>
      <t>El rol centraliza la gestión de la infraestructura física (</t>
    </r>
    <r>
      <rPr>
        <i/>
        <sz val="11"/>
        <color rgb="FF000000"/>
        <rFont val="Arial"/>
        <family val="2"/>
      </rPr>
      <t>Power &amp; Cooling</t>
    </r>
    <r>
      <rPr>
        <sz val="11"/>
        <color rgb="FF000000"/>
        <rFont val="Arial"/>
        <family val="2"/>
      </rPr>
      <t>) para maximizar la capacidad y minimizar costos.</t>
    </r>
  </si>
  <si>
    <r>
      <t xml:space="preserve">En el modelo de </t>
    </r>
    <r>
      <rPr>
        <i/>
        <sz val="11"/>
        <color rgb="FF000000"/>
        <rFont val="Arial"/>
        <family val="2"/>
      </rPr>
      <t>Colocation</t>
    </r>
    <r>
      <rPr>
        <sz val="11"/>
        <color rgb="FF000000"/>
        <rFont val="Arial"/>
        <family val="2"/>
      </rPr>
      <t>, el operador debe justificar métricas de rendimiento y capacidad directamente ante los clientes.</t>
    </r>
  </si>
  <si>
    <r>
      <t xml:space="preserve">Primer rol en la muestra que explicita la exigencia de optimizar el </t>
    </r>
    <r>
      <rPr>
        <b/>
        <sz val="11"/>
        <color rgb="FF000000"/>
        <rFont val="Arial"/>
        <family val="2"/>
      </rPr>
      <t>PUE</t>
    </r>
    <r>
      <rPr>
        <sz val="11"/>
        <color rgb="FF000000"/>
        <rFont val="Arial"/>
        <family val="2"/>
      </rPr>
      <t xml:space="preserve"> y utilizar software </t>
    </r>
    <r>
      <rPr>
        <b/>
        <sz val="11"/>
        <color rgb="FF000000"/>
        <rFont val="Arial"/>
        <family val="2"/>
      </rPr>
      <t>DCIM</t>
    </r>
    <r>
      <rPr>
        <sz val="11"/>
        <color rgb="FF000000"/>
        <rFont val="Arial"/>
        <family val="2"/>
      </rPr>
      <t>.</t>
    </r>
  </si>
  <si>
    <t>VP, Data Center Operations</t>
  </si>
  <si>
    <t>Flexential</t>
  </si>
  <si>
    <t>Ejecutivo</t>
  </si>
  <si>
    <t>Liderazgo de la ejecución diaria de un portfolio de más de 40 data centers, equipos de más de 300 personas, supervisión de operaciones regionales, ambiente crítico, seguridad física y salud ocupacional.</t>
  </si>
  <si>
    <t>Uptime, rendimiento confiable, seguridad, cumplimiento presupuestario, rendimiento de la fuerza de trabajo.</t>
  </si>
  <si>
    <t>https://www.linkedin.com/jobs/view/4444020317/</t>
  </si>
  <si>
    <t>DCIM, BMS, automatización de edificios y plataformas de control.</t>
  </si>
  <si>
    <t>Valida el rol ejecutivo de nivel C-Suite/VP en Estados Unidos encargado de la ejecución operativa de un portfolio masivo de colocation.</t>
  </si>
  <si>
    <t>Vice President, Critical Operations</t>
  </si>
  <si>
    <t>STACK Infrastructure</t>
  </si>
  <si>
    <t>Responsabilidad operativa, financiera y de rendimiento general de un campus de centros de datos a gran escala; liderazgo de operaciones de misión crítica, mantenimiento preventivo y correctivo, y P&amp;L completo.</t>
  </si>
  <si>
    <t>Disponibilidad del 100%, cumplimiento de SLAs, minimizar el costo total de propiedad (TCO).</t>
  </si>
  <si>
    <t>https://www.linkedin.com/jobs/view/4436628690/</t>
  </si>
  <si>
    <t>UPS, Generadores, Transformadores, PDU's, RPP's, Chillers, CDU's, Manejadoras de aire (Air Handlers), STS, ATS, sistemas de pre-acción.</t>
  </si>
  <si>
    <t>Conecta la responsabilidad ejecutiva sobre la infraestructura crítica, la gestión de presupuesto y la mitigación de riesgos con la eficiencia operativa a escala de campus en el mercado norteamericano.</t>
  </si>
  <si>
    <t>Data Center Operations, Facilities Manager</t>
  </si>
  <si>
    <t>Liderar esfuerzos de cumplimiento normativo y de diseño global, monitorear operaciones de sistemas del centro de datos para minimizar riesgos, desarrollar estrategias para reducir costos operativos, mejorar la eficiencia y disminuir el impacto ambiental, y recomendar mejoras de diseño para optimizar equipos y operaciones.</t>
  </si>
  <si>
    <t>Reducción de costos operativos, mejora de la eficiencia, cumplimiento de estándares de diseño y normativos.</t>
  </si>
  <si>
    <t>https://www.linkedin.com/jobs/view/4439895971/</t>
  </si>
  <si>
    <t>Sistemas eléctricos, mecánicos, HVAC, de control y monitoreo.</t>
  </si>
  <si>
    <t>Valida cómo un gigante tecnológico enfoca el rol táctico/gerencial en la gestión de instalaciones (facilities), conectando la eficiencia ambiental y de costos con la operación física de los equipos.</t>
  </si>
  <si>
    <t>Manager Data Center Operations</t>
  </si>
  <si>
    <t>Táctico / Estratégico</t>
  </si>
  <si>
    <t>Supervisar la ejecución de las operaciones locales de centros de datos, ingeniería de operaciones y mantenimiento de infraestructura central, gestión de construcción, comisionamiento, provisión de servicios de colocation, conectividad e infraestructura de red.</t>
  </si>
  <si>
    <t>100% de uptime, 100% de cumplimiento con los SLA de los clientes.</t>
  </si>
  <si>
    <t>https://www.linkedin.com/jobs/view/4429377632/</t>
  </si>
  <si>
    <t>CMMS (Computerized Maintenance Management Systems), DCIM (Data Center Infrastructure Management), sistemas de medición de energía, Microsoft Project, Visio, AutoCAD.</t>
  </si>
  <si>
    <t>Detalla exhaustivamente el modelo operativo de colocation en EE. UU., abarcando desde la gestión del mantenimiento preventivo y MOPs (Method of Procedures) hasta el soporte de presupuestos, cumplimiento normativo y control de capacidad física.</t>
  </si>
  <si>
    <t>Data Center Operation Construction Manager</t>
  </si>
  <si>
    <t>Estratégico / Táctico</t>
  </si>
  <si>
    <t>⚠️ Parcial / Conexión de Construcción</t>
  </si>
  <si>
    <t>Liderar la entrega de extremo a extremo de proyectos complejos de construcción y expansión de centros de datos (portafolios de $250K a $100M), gestión de proveedores, integración de soluciones escalables, control fiscal y cumplimiento de seguridad, calidad y costos.</t>
  </si>
  <si>
    <t>Cost-efficiency, seguridad, calidad, cronograma y cumplimiento de presupuesto (scope, schedule, budget, risk), disponibilidad del cliente.</t>
  </si>
  <si>
    <t>https://www.linkedin.com/jobs/view/4441988136/</t>
  </si>
  <si>
    <t>Infraestructura crítica (UPS, Generadores, Manejadoras de aire / AHU), servidores, redes, cableado estructurado.</t>
  </si>
  <si>
    <t>Aunque el título menciona "Operations Management", el núcleo del rol está enfocado en la construcción y entrega de infraestructura para la división de Cloud Operations (CO+I) de Microsoft. Funciona como un excelente contrapeso metodológico para separar la fase de construcción de la fase de operación pura que miden los KPIs de capacidad varada (Stranded Capacity).</t>
  </si>
  <si>
    <t>Critical Environment Operations Manager</t>
  </si>
  <si>
    <t>Liderar equipos de profesionales mecánicos, eléctricos y de sistemas de control; supervisar las operaciones y el mantenimiento diario de equipos mecánicos y eléctricos; maximizar la disponibilidad del entorno crítico (CE); impulsar iniciativas de eficiencia energética y de costos; gestionar informes rutinarios de potencia, temperatura, humedad relativa y cumplimiento de SLAs.</t>
  </si>
  <si>
    <t>Disponibilidad del entorno crítico (CE) óptima, reducción año tras año de incidentes de alto impacto por error humano, eficiencia energética/de costos, monitoreo de Power/Temperature/Relative Humidity y SLA.</t>
  </si>
  <si>
    <t>https://www.linkedin.com/jobs/view/4439554558/</t>
  </si>
  <si>
    <t>Infraestructura de entorno crítico (UPS, Generadores, manejadoras de aire / AHU).</t>
  </si>
  <si>
    <t>Este rol se alinea quirúrgicamente con el núcleo del problema de Stranded Capacity, ya que une directamente la gestión física de la energía (Power) y la temperatura (Temperature/Humidity) con las métricas de eficiencia operativa y disponibilidad de los hiperescaladores.</t>
  </si>
  <si>
    <t>Manager, Data Center Critical Facilities</t>
  </si>
  <si>
    <t>Liderar las operaciones generales, la estrategia de mantenimiento y el rendimiento de la infraestructura crítica en el sitio; supervisar sistemas de distribución eléctrica, UPS, generadores, ATS, infraestructura de refrigeración (CRAC/CRAH, chillers) y sistemas de monitoreo BMS/EPMS.</t>
  </si>
  <si>
    <t>Disponibilidad (uptime) sin margen de error, fiabilidad, seguridad, cumplimiento normativo y excelencia operativa 24/7.</t>
  </si>
  <si>
    <t>https://www.linkedin.com/jobs/view/4423176098/</t>
  </si>
  <si>
    <t>Sistemas de distribución eléctrica, UPS, generadores, ATS, CRAC/CRAH, chillers, sistemas de monitoreo BMS / EPMS.</t>
  </si>
  <si>
    <r>
      <t xml:space="preserve">Refuerza el rol de gestión en el modelo de </t>
    </r>
    <r>
      <rPr>
        <i/>
        <sz val="11"/>
        <color theme="1"/>
        <rFont val="Calibri"/>
        <family val="2"/>
        <scheme val="minor"/>
      </rPr>
      <t>Colocation</t>
    </r>
    <r>
      <rPr>
        <sz val="11"/>
        <color theme="1"/>
        <rFont val="Calibri"/>
        <family val="2"/>
        <scheme val="minor"/>
      </rPr>
      <t xml:space="preserve"> en EE. UU., uniendo la ingeniería de confiabilidad (</t>
    </r>
    <r>
      <rPr>
        <i/>
        <sz val="11"/>
        <color theme="1"/>
        <rFont val="Calibri"/>
        <family val="2"/>
        <scheme val="minor"/>
      </rPr>
      <t>Reliability Engineering</t>
    </r>
    <r>
      <rPr>
        <sz val="11"/>
        <color theme="1"/>
        <rFont val="Calibri"/>
        <family val="2"/>
        <scheme val="minor"/>
      </rPr>
      <t>) y la estrategia de mantenimiento preventivo con la mitigación de riesgos para garantizar la continuidad del servicio ante clientes corporativos globales.</t>
    </r>
  </si>
  <si>
    <t>Uptime / Availability</t>
  </si>
  <si>
    <t>SLA / Cumplimiento de servicio</t>
  </si>
  <si>
    <t>Eficiencia energética</t>
  </si>
  <si>
    <t>Security / Compliance</t>
  </si>
  <si>
    <t>KPI normalizado</t>
  </si>
  <si>
    <t>Registros donde aparece</t>
  </si>
  <si>
    <t>Evidencia encontrada</t>
  </si>
  <si>
    <t>1, 3, 5, 6, 7, 8, 11, 13, 14</t>
  </si>
  <si>
    <t>"Uptime", "Uptime ininterrumpido", "Disponibilidad de servicios", "cero caídas", "disponibilidad 99.99%", "disponibilidad del 100%", "100% uptime", "disponibilidad del entorno crítico", "Disponibilidad (uptime)"</t>
  </si>
  <si>
    <t>2, 4, 7, 8, 9, 11, 13</t>
  </si>
  <si>
    <t>"SLA", "SLAs", "cumplimiento de contratos (SLAs)", "cumplimiento de SLA de clientes"</t>
  </si>
  <si>
    <t>1, 4, 7, 10, 13</t>
  </si>
  <si>
    <t>"Eficiencia energética", "PUE", "mejora de eficiencia", "eficiencia energética/de costos"</t>
  </si>
  <si>
    <t>Cost Optimization / Costos / TCO / Budget</t>
  </si>
  <si>
    <t>2, 4, 8, 9, 10, 12, 13</t>
  </si>
  <si>
    <t>"lowest cost", "budget operativo", "cumplimiento presupuestario", "minimizar TCO", "reducción de costos operativos", "cost-efficiency", "cumplimiento de presupuesto", "eficiencia de costos"</t>
  </si>
  <si>
    <t>Capacity / Capacidad</t>
  </si>
  <si>
    <t>2, 3</t>
  </si>
  <si>
    <t>"Infinite capacity", "capacidad competitiva"</t>
  </si>
  <si>
    <t>"PUE" explícito</t>
  </si>
  <si>
    <t>Power / Energía eléctrica</t>
  </si>
  <si>
    <t>"Power/Temperature/Relative Humidity"</t>
  </si>
  <si>
    <t>3, 13</t>
  </si>
  <si>
    <t>"gestión de incidentes críticos", "reducción de incidentes de alto impacto"</t>
  </si>
  <si>
    <t>3, 6, 8, 10, 12, 13, 14</t>
  </si>
  <si>
    <t>"seguridad", "cumplimiento normativo", "estándares", "riesgo", "salud ocupacional"</t>
  </si>
  <si>
    <t>Herramienta normalizada</t>
  </si>
  <si>
    <t>DCIM, Data Center Infrastructure Management</t>
  </si>
  <si>
    <t>CMMS, Computerized Maintenance Management System</t>
  </si>
  <si>
    <t>HVAC / Cooling</t>
  </si>
  <si>
    <t>HVAC, Chillers, CRAC/CRAH, Air Handlers (AHU), aire acondicionado de precisión, climatización</t>
  </si>
  <si>
    <t>Existe presión por mantener la disponibilidad mientras se optimiza la energía y el enfriamiento frente al rápido incremento de la densidad de los racks (que promedia los 27 kW según AFCOM) y los desafíos de eficiencia energética (con un PUE promedio estancado en 1.54 según Uptime Institute).</t>
  </si>
  <si>
    <t>Uptime Institute Global Data Center Survey 2025 y AFCOM State of the Data Center 2026.</t>
  </si>
  <si>
    <t>El mensaje debe enfocarse en maximizar la capacidad y eficiencia de la infraestructura existente sin comprometer la confiabilidad ni la disponibilidad operativa.</t>
  </si>
  <si>
    <t>Uptime Institute (2025) y AFCOM (2026)</t>
  </si>
  <si>
    <t>Mostrar cómo la calculadora apoya decisiones operativas reales automatizando el análisis y reduciendo la dependencia de trabajo manual/error humano.</t>
  </si>
  <si>
    <t>Toma decisiones críticas sobre Capacity Planning, mitigación de incidentes (principalmente fallas de energía UPS) y gestión de la escasez crónica de personal calificado.</t>
  </si>
  <si>
    <t>Uptime Institute Global Data Center Survey (2025), AFCOM State of the Data Center (2026), y TechSpot / Sightline Climate Data Center Outlook (2026)</t>
  </si>
  <si>
    <t>La red eléctrica está saturada frente a la demanda explosiva de la IA (el 72% de los operadores anticipa impactos por cargas de IA). Hay cuellos de botella severos en la transmisión y distribución eléctrica: cerca del 50% de los centros de datos planeados enfrentan riesgos de retraso o cancelación por escasez de componentes y red, lo que obliga a depender de la capacidad instalada actual o generación in situ.</t>
  </si>
  <si>
    <t>Posicionar la calculadora como una herramienta para actuar ahora. Conseguir nuevos MW lleva tiempo; recuperar capacidad existente es más inmediato.</t>
  </si>
  <si>
    <t>Uptime Institute Global Data Center Survey (2025) y AFCOM State of the Data Center (2026).</t>
  </si>
  <si>
    <t>Hipótesis: Necesita datos objetivos respaldados por benchmarks de la industria (como métricas de PUE, costos operativos y eficiencia de capacidad instalada) para justificar inversiones técnicas ante Finanzas, Ingeniería y Dirección.</t>
  </si>
  <si>
    <t>Diseñar resultados claros y fáciles de compartir con otras áreas (reportes ejecutivos, métricas comparativas) que faciliten la toma de decisiones presupuestarias y demuestren el retorno de optimizar la infraestructura actual.</t>
  </si>
  <si>
    <t>Dado que competidores establecidos como Schneider Electric, Vertiv y Sunbird ofrecen calculadoras de infraestructura basadas en metodologías reconocidas, la confianza del operador depende estrictamente de la transparencia metodológica y del uso de referencias reconocidas de la industria.</t>
  </si>
  <si>
    <t>Explicar claramente cómo se calcula el resultado y compararlo con los benchmarks oficiales de la industria para generar credibilidad técnica inmediata.</t>
  </si>
  <si>
    <t>Ningún competidor del sector (Schneider, Vertiv, Sunbird, EkkoSense) posiciona con fuerza el concepto de Stranded Capacity (capacidad varada) como su eje de comunicación pública; todos se enfocan en vender hardware o software tradicional de DCIM.</t>
  </si>
  <si>
    <t>Benchmark competitivo directo de la industria y análisis de plataformas de software del sector.</t>
  </si>
  <si>
    <t>La ventaja competitiva radica en apropiarse del problema ("¿Cuánta capacidad estás desperdiciando?") antes que del producto o la calculadora en sí.</t>
  </si>
  <si>
    <t>Validado</t>
  </si>
  <si>
    <t xml:space="preserve"> Parcialmente Validado</t>
  </si>
  <si>
    <t>Parcialmente Validado</t>
  </si>
  <si>
    <t xml:space="preserve">Ofertas + Uptime Institute </t>
  </si>
  <si>
    <t>Pain Point normalizado</t>
  </si>
  <si>
    <t>Registros / Fuentes donde aparece</t>
  </si>
  <si>
    <t>Capacity Constraints / Falta de capacidad</t>
  </si>
  <si>
    <t>Capacity Planning, incremento de capacidad por IA, capacidad competitiva, capacidad instalada, capacidad existente</t>
  </si>
  <si>
    <t>AWS (2), AWS (3), Uptime Institute 2025, AFCOM 2026, Digital Realty</t>
  </si>
  <si>
    <t>Power Availability / Limitaciones de energía</t>
  </si>
  <si>
    <t>Disponibilidad de energía, Power, red eléctrica saturada, infraestructura eléctrica, generación in situ</t>
  </si>
  <si>
    <t>AWS (2), Microsoft (13), Uptime Institute 2025, AFCOM 2026, LBNL, Sightline Climate</t>
  </si>
  <si>
    <t>Cooling Limitations</t>
  </si>
  <si>
    <t>Cooling, HVAC, refrigeración, enfriamiento líquido, transición térmica</t>
  </si>
  <si>
    <t>AWS (2), Alibaba (7), Google (10), Microsoft (13), AFCOM 2026</t>
  </si>
  <si>
    <t>Eficiencia energética, optimización energética, PUE, consumo energético</t>
  </si>
  <si>
    <t>Unblock (1), Ascenty (4), Alibaba (7), Google (10), Microsoft (13), Uptime Institute</t>
  </si>
  <si>
    <t>Costos operativos elevados</t>
  </si>
  <si>
    <t>Lowest cost, Cost-efficiency, Budget, TCO, reducción de costos operativos</t>
  </si>
  <si>
    <t>AWS (2), Ascenty (4), Flexential (8), STACK (9), Google (10), Microsoft (12)</t>
  </si>
  <si>
    <t>Dificultad para Capacity Planning</t>
  </si>
  <si>
    <t>Planificación de capacidad, crecimiento por IA, expansión limitada</t>
  </si>
  <si>
    <t>Hitss (5), Uptime Institute 2025, AFCOM 2026, Digital Realty</t>
  </si>
  <si>
    <t>Escasez de personal calificado</t>
  </si>
  <si>
    <t>Falta de personal, productividad del staff</t>
  </si>
  <si>
    <t>Uptime Institute 2025</t>
  </si>
  <si>
    <t>Error humano / Riesgo operativo</t>
  </si>
  <si>
    <t>Error humano, amenazas humanas, incidentes de alto impacto</t>
  </si>
  <si>
    <t>Microsoft (13), Uptime Institute 2025</t>
  </si>
  <si>
    <t>Cumplimiento de SLA sin afectar el uptime</t>
  </si>
  <si>
    <t>Cumplimiento de SLA, disponibilidad continua, uptime, continuidad operativa</t>
  </si>
  <si>
    <t>AWS (2), Ascenty (4), Alibaba (7), STACK (9), Digital Realty (11), Microsoft (13), Equinix (14)</t>
  </si>
  <si>
    <t>Stranded Capacity / Capacidad varada</t>
  </si>
  <si>
    <t>Capacidad desperdiciada, infraestructura subutilizada, optimizar capacidad existente</t>
  </si>
  <si>
    <t>Sunbird, EkkoSense, Sightline Climate, documentación de la startup</t>
  </si>
  <si>
    <t>Nota metodológica: La frecuencia no representa la cantidad de veces que aparece una palabra, sino la cantidad de registros o fuentes en las que se identifica el mismo problema utilizando términos equivalentes. Por ejemplo, "red eléctrica saturada", "disponibilidad de energía" y "Power" se agrupan bajo Power Availability porque describen el mismo desafío operativo.</t>
  </si>
  <si>
    <r>
      <rPr>
        <b/>
        <sz val="11"/>
        <color theme="1"/>
        <rFont val="Calibri"/>
        <family val="2"/>
        <scheme val="minor"/>
      </rPr>
      <t>Nota metodológica:</t>
    </r>
    <r>
      <rPr>
        <sz val="11"/>
        <color theme="1"/>
        <rFont val="Calibri"/>
        <family val="2"/>
        <scheme val="minor"/>
      </rPr>
      <t xml:space="preserve"> La frecuencia no representa la cantidad de veces que aparece una palabra de forma literal, sino la cantidad de registros analizados en los que se identifica el mismo KPI mediante conceptos equivalentes. Para facilitar el análisis, se normalizaron diferentes expresiones bajo una misma categoría. Por ejemplo, "Disponibilidad del 100%", "99.99% de disponibilidad", "Uptime ininterrumpido" y "Continuidad operativa" fueron agrupados bajo el KPI Uptime / Availability. Del mismo modo, "cumplimiento de contratos (SLAs)" y "cumplimiento de SLA de clientes" se agruparon como SLA / Cumplimiento de servicio, mientras que términos como "budget", "TCO", "cost-efficiency" y "reducción de costos operativos" se consolidaron en Cost Optimization / Costos / TCO / Budget.</t>
    </r>
  </si>
  <si>
    <t>7, 8, 11</t>
  </si>
  <si>
    <t>7, 11</t>
  </si>
  <si>
    <t>BMS, Building Management System, sistemas de monitoreo BMS</t>
  </si>
  <si>
    <t>7, 8, 14</t>
  </si>
  <si>
    <t>3, 9, 13, 14</t>
  </si>
  <si>
    <t>3, 9, 12, 13, 14*</t>
  </si>
  <si>
    <t>6, 7, 9, 10, 12, 13, 14*</t>
  </si>
  <si>
    <r>
      <rPr>
        <b/>
        <sz val="14"/>
        <color theme="1"/>
        <rFont val="Calibri"/>
        <family val="2"/>
        <scheme val="minor"/>
      </rPr>
      <t>Aclaración</t>
    </r>
    <r>
      <rPr>
        <sz val="11"/>
        <color theme="1"/>
        <rFont val="Calibri"/>
        <family val="2"/>
        <scheme val="minor"/>
      </rPr>
      <t xml:space="preserve">
Hay dos herramientas que aparecen en dos registros al mismo tiempo:
Registro 14 (Equinix) menciona tanto UPS, Generadores como CRAC/CRAH y Chillers, por eso suma a varias categorías.
Lo mismo ocurre con el registro 9 (STACK).
Por eso la suma de las frecuencias es mayor que 14; un mismo registro puede mencionar varias herramientas.
</t>
    </r>
    <r>
      <rPr>
        <b/>
        <sz val="14"/>
        <color theme="1"/>
        <rFont val="Calibri"/>
        <family val="2"/>
        <scheme val="minor"/>
      </rPr>
      <t>Nota metodológica</t>
    </r>
    <r>
      <rPr>
        <sz val="11"/>
        <color theme="1"/>
        <rFont val="Calibri"/>
        <family val="2"/>
        <scheme val="minor"/>
      </rPr>
      <t xml:space="preserve">
Nota metodológica: La frecuencia no representa la cantidad de veces que aparece una palabra de forma literal, sino la cantidad de registros analizados en los que se menciona una misma tecnología o familia de herramientas. Para facilitar el análisis se normalizaron términos equivalentes. Por ejemplo, "CRAC/CRAH", "Chillers", "Air Handlers (AHU)", "HVAC", "aire acondicionado de precisión" y "climatización" se agruparon bajo HVAC / Cooling. Del mismo modo, "DCIM" y "Data Center Infrastructure Management" se contabilizaron como una única herramienta.</t>
    </r>
  </si>
  <si>
    <t>Insight normalizado</t>
  </si>
  <si>
    <t>Frecuencia / Evidencia</t>
  </si>
  <si>
    <t>¿De dónde surge?</t>
  </si>
  <si>
    <t>Implicancia</t>
  </si>
  <si>
    <t>Uptime / Disponibilidad es la prioridad principal</t>
  </si>
  <si>
    <t>9 de 14 ofertas</t>
  </si>
  <si>
    <t>Tabla de frecuencia de KPIs</t>
  </si>
  <si>
    <t>La comunicación debe demostrar que optimizar capacidad no compromete la disponibilidad.</t>
  </si>
  <si>
    <t>Cumplimiento de SLA es un objetivo transversal</t>
  </si>
  <si>
    <t>6 de 14 ofertas</t>
  </si>
  <si>
    <t>La propuesta de valor debe alinearse con el cumplimiento de SLA.</t>
  </si>
  <si>
    <t>La eficiencia energética es un objetivo constante</t>
  </si>
  <si>
    <t>5 de 14 ofertas</t>
  </si>
  <si>
    <t>Tabla de frecuencia de KPIs + Uptime Institute</t>
  </si>
  <si>
    <t>Existe interés en reducir consumo y mejorar eficiencia.</t>
  </si>
  <si>
    <t>Costos y optimización financiera tienen alta relevancia</t>
  </si>
  <si>
    <t>7 de 14 ofertas</t>
  </si>
  <si>
    <t>Conviene comunicar ahorro, TCO y eficiencia económica.</t>
  </si>
  <si>
    <t>HVAC / Cooling es la tecnología crítica más repetida</t>
  </si>
  <si>
    <t>Tabla de frecuencia de herramientas</t>
  </si>
  <si>
    <t>El cuello de botella está en la infraestructura física.</t>
  </si>
  <si>
    <t>DCIM y CMMS son herramientas habituales de gestión</t>
  </si>
  <si>
    <t>La audiencia está familiarizada con herramientas de monitoreo y gestión.</t>
  </si>
  <si>
    <t>UPS y Generadores son infraestructura crítica</t>
  </si>
  <si>
    <t>La resiliencia eléctrica forma parte del trabajo diario del operador.</t>
  </si>
  <si>
    <t>Total de muestra</t>
  </si>
  <si>
    <t xml:space="preserve">3 DCIM ofertas + 2 CMMS  ofertas </t>
  </si>
  <si>
    <t>UPS 4 ofertas +  Generadores 4 ofertas</t>
  </si>
  <si>
    <t>✅ Sí (Equivalente a Operations Manager)</t>
  </si>
  <si>
    <t>✅ Sí (Director / Site Manager de Colocation)</t>
  </si>
  <si>
    <t>✅ Sí (Equivalente a Critical Facilities Manager)</t>
  </si>
  <si>
    <t>✅ Sí (Critical Facilities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</si>
</sst>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b/>
      <sz val="11"/>
      <color rgb="FF000000"/>
      <name val="Arial"/>
      <family val="2"/>
    </font>
    <font>
      <sz val="11"/>
      <color rgb="FF000000"/>
      <name val="Arial"/>
      <family val="2"/>
    </font>
    <font>
      <i/>
      <sz val="11"/>
      <color rgb="FF000000"/>
      <name val="Arial"/>
      <family val="2"/>
    </font>
    <font>
      <i/>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92D050"/>
        <bgColor indexed="64"/>
      </patternFill>
    </fill>
  </fills>
  <borders count="7">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
      <left/>
      <right style="medium">
        <color rgb="FFC4C7C5"/>
      </right>
      <top style="medium">
        <color rgb="FFC4C7C5"/>
      </top>
      <bottom style="medium">
        <color rgb="FFC4C7C5"/>
      </bottom>
      <diagonal/>
    </border>
    <border>
      <left/>
      <right style="medium">
        <color rgb="FFC4C7C5"/>
      </right>
      <top/>
      <bottom/>
      <diagonal/>
    </border>
    <border>
      <left/>
      <right style="medium">
        <color rgb="FFC4C7C5"/>
      </right>
      <top/>
      <bottom style="medium">
        <color rgb="FFC4C7C5"/>
      </bottom>
      <diagonal/>
    </border>
    <border>
      <left style="medium">
        <color rgb="FFC4C7C5"/>
      </left>
      <right style="medium">
        <color rgb="FFC4C7C5"/>
      </right>
      <top/>
      <bottom style="medium">
        <color rgb="FFC4C7C5"/>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 fillId="0" borderId="0" xfId="1" applyAlignment="1">
      <alignment horizontal="center" vertical="center" wrapText="1"/>
    </xf>
    <xf numFmtId="0" fontId="2" fillId="0" borderId="0" xfId="1"/>
    <xf numFmtId="0" fontId="0" fillId="2" borderId="0" xfId="0" applyFill="1" applyAlignment="1">
      <alignment vertical="center" wrapText="1"/>
    </xf>
    <xf numFmtId="0" fontId="1" fillId="0" borderId="0" xfId="0" applyFont="1" applyAlignment="1">
      <alignment vertical="center" wrapText="1"/>
    </xf>
    <xf numFmtId="0" fontId="4" fillId="0" borderId="1" xfId="0" applyFont="1" applyFill="1" applyBorder="1" applyAlignment="1">
      <alignment horizontal="right" vertical="center" wrapText="1" indent="1"/>
    </xf>
    <xf numFmtId="0" fontId="4" fillId="0" borderId="1" xfId="0" applyFont="1" applyFill="1" applyBorder="1" applyAlignment="1">
      <alignment horizontal="left" vertical="top" wrapText="1"/>
    </xf>
    <xf numFmtId="0" fontId="2" fillId="0" borderId="1" xfId="1" applyFill="1" applyBorder="1" applyAlignment="1">
      <alignment horizontal="left" vertical="top" wrapText="1"/>
    </xf>
    <xf numFmtId="0" fontId="4" fillId="0" borderId="2" xfId="0" applyFont="1" applyFill="1" applyBorder="1" applyAlignment="1">
      <alignment horizontal="right" vertical="center" wrapText="1" indent="1"/>
    </xf>
    <xf numFmtId="0" fontId="4" fillId="0" borderId="2" xfId="0" applyFont="1" applyFill="1" applyBorder="1" applyAlignment="1">
      <alignment horizontal="left" vertical="top" wrapText="1"/>
    </xf>
    <xf numFmtId="0" fontId="2" fillId="0" borderId="0" xfId="1" applyAlignment="1">
      <alignment vertical="center"/>
    </xf>
    <xf numFmtId="0" fontId="2" fillId="0" borderId="2" xfId="1" applyFill="1" applyBorder="1" applyAlignment="1">
      <alignment horizontal="right" vertical="center" wrapText="1" indent="1"/>
    </xf>
    <xf numFmtId="0" fontId="0" fillId="0" borderId="0" xfId="0" applyAlignment="1">
      <alignment vertical="top" wrapText="1"/>
    </xf>
    <xf numFmtId="0" fontId="3" fillId="0" borderId="3" xfId="0" applyFont="1" applyFill="1" applyBorder="1" applyAlignment="1">
      <alignment horizontal="right" vertical="center" wrapText="1" indent="1"/>
    </xf>
    <xf numFmtId="0" fontId="3" fillId="0" borderId="4" xfId="0" applyFont="1" applyFill="1" applyBorder="1" applyAlignment="1">
      <alignment horizontal="right" vertical="center" wrapText="1" indent="1"/>
    </xf>
    <xf numFmtId="0" fontId="3" fillId="0" borderId="5" xfId="0" applyFont="1" applyFill="1" applyBorder="1" applyAlignment="1">
      <alignment horizontal="right" vertical="center" wrapText="1" indent="1"/>
    </xf>
    <xf numFmtId="0" fontId="3" fillId="0" borderId="6" xfId="0" applyFont="1" applyFill="1" applyBorder="1" applyAlignment="1">
      <alignment horizontal="right" vertical="center" wrapText="1" indent="1"/>
    </xf>
    <xf numFmtId="0" fontId="0" fillId="3" borderId="0" xfId="0" applyFill="1" applyAlignment="1">
      <alignment vertical="center" wrapText="1"/>
    </xf>
    <xf numFmtId="0" fontId="0" fillId="0" borderId="0" xfId="0" applyFill="1" applyAlignment="1">
      <alignment vertical="center" wrapText="1"/>
    </xf>
    <xf numFmtId="0" fontId="0" fillId="0" borderId="0" xfId="0"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horizontal="left" vertical="center" wrapText="1"/>
    </xf>
    <xf numFmtId="0" fontId="0" fillId="0" borderId="0" xfId="0" applyAlignment="1">
      <alignment horizontal="left" vertical="center"/>
    </xf>
  </cellXfs>
  <cellStyles count="2">
    <cellStyle name="Hipervínculo" xfId="1" builtinId="8"/>
    <cellStyle name="Normal" xfId="0" builtinId="0"/>
  </cellStyles>
  <dxfs count="48">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left" vertical="top" textRotation="0" wrapText="1" indent="0" justifyLastLine="0" shrinkToFit="0" readingOrder="0"/>
      <border diagonalUp="0" diagonalDown="0">
        <left style="medium">
          <color rgb="FFC4C7C5"/>
        </left>
        <right style="medium">
          <color rgb="FFC4C7C5"/>
        </right>
        <top/>
        <bottom/>
        <vertical/>
        <horizontal/>
      </border>
    </dxf>
    <dxf>
      <font>
        <b val="0"/>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right" vertical="center" textRotation="0" wrapText="1" indent="1" justifyLastLine="0" shrinkToFit="0" readingOrder="0"/>
      <border diagonalUp="0" diagonalDown="0">
        <left style="medium">
          <color rgb="FFC4C7C5"/>
        </left>
        <right style="medium">
          <color rgb="FFC4C7C5"/>
        </right>
        <top style="medium">
          <color rgb="FFC4C7C5"/>
        </top>
        <bottom style="medium">
          <color rgb="FFC4C7C5"/>
        </bottom>
        <vertical/>
        <horizontal/>
      </border>
    </dxf>
    <dxf>
      <font>
        <b val="0"/>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right" vertical="center" textRotation="0" wrapText="1" indent="1" justifyLastLine="0" shrinkToFit="0" readingOrder="0"/>
      <border diagonalUp="0" diagonalDown="0">
        <left style="medium">
          <color rgb="FFC4C7C5"/>
        </left>
        <right style="medium">
          <color rgb="FFC4C7C5"/>
        </right>
        <top/>
        <bottom/>
        <vertical/>
        <horizontal/>
      </border>
    </dxf>
    <dxf>
      <font>
        <b val="0"/>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right" vertical="center" textRotation="0" wrapText="1" indent="1" justifyLastLine="0" shrinkToFit="0" readingOrder="0"/>
      <border diagonalUp="0" diagonalDown="0">
        <left style="medium">
          <color rgb="FFC4C7C5"/>
        </left>
        <right style="medium">
          <color rgb="FFC4C7C5"/>
        </right>
        <top style="medium">
          <color rgb="FFC4C7C5"/>
        </top>
        <bottom style="medium">
          <color rgb="FFC4C7C5"/>
        </bottom>
        <vertical/>
        <horizontal/>
      </border>
    </dxf>
    <dxf>
      <font>
        <b/>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right" vertical="center" textRotation="0" wrapText="1" indent="1" justifyLastLine="0" shrinkToFit="0" readingOrder="0"/>
      <border diagonalUp="0" diagonalDown="0">
        <left/>
        <right style="medium">
          <color rgb="FFC4C7C5"/>
        </right>
        <top/>
        <bottom/>
        <vertical/>
        <horizontal/>
      </border>
    </dxf>
    <dxf>
      <border outline="0">
        <left style="medium">
          <color rgb="FFC4C7C5"/>
        </left>
        <top style="medium">
          <color rgb="FFC4C7C5"/>
        </top>
      </border>
    </dxf>
    <dxf>
      <border outline="0">
        <bottom style="medium">
          <color rgb="FFC4C7C5"/>
        </bottom>
      </border>
    </dxf>
    <dxf>
      <font>
        <b/>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right" vertical="center" textRotation="0" wrapText="1" indent="1" justifyLastLine="0" shrinkToFit="0" readingOrder="0"/>
      <border diagonalUp="0" diagonalDown="0" outline="0">
        <left style="medium">
          <color rgb="FFC4C7C5"/>
        </left>
        <right style="medium">
          <color rgb="FFC4C7C5"/>
        </right>
        <top/>
        <bottom/>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ill>
        <patternFill patternType="solid">
          <fgColor indexed="64"/>
          <bgColor rgb="FFFFC000"/>
        </patternFill>
      </fill>
      <alignment horizontal="general" vertical="center" textRotation="0" wrapText="1" indent="0" justifyLastLine="0" shrinkToFit="0" readingOrder="0"/>
    </dxf>
    <dxf>
      <fill>
        <patternFill patternType="solid">
          <fgColor indexed="64"/>
          <bgColor rgb="FFFFC000"/>
        </patternFill>
      </fill>
      <alignment horizontal="general" vertical="center" textRotation="0" wrapText="1" indent="0" justifyLastLine="0" shrinkToFit="0" readingOrder="0"/>
    </dxf>
    <dxf>
      <fill>
        <patternFill patternType="solid">
          <fgColor indexed="64"/>
          <bgColor rgb="FFFFC000"/>
        </patternFill>
      </fill>
      <alignment horizontal="general" vertical="center" textRotation="0" wrapText="1" indent="0" justifyLastLine="0" shrinkToFit="0" readingOrder="0"/>
    </dxf>
    <dxf>
      <fill>
        <patternFill patternType="solid">
          <fgColor indexed="64"/>
          <bgColor rgb="FFFFC000"/>
        </patternFill>
      </fill>
      <alignment horizontal="general" vertical="center" textRotation="0" wrapText="1" indent="0" justifyLastLine="0" shrinkToFit="0" readingOrder="0"/>
    </dxf>
    <dxf>
      <fill>
        <patternFill patternType="solid">
          <fgColor indexed="64"/>
          <bgColor rgb="FFFFC000"/>
        </patternFill>
      </fill>
      <alignment horizontal="general" vertical="center" textRotation="0" wrapText="1" indent="0" justifyLastLine="0" shrinkToFit="0" readingOrder="0"/>
    </dxf>
    <dxf>
      <fill>
        <patternFill patternType="solid">
          <fgColor indexed="64"/>
          <bgColor rgb="FFFFC000"/>
        </patternFill>
      </fill>
      <alignment horizontal="general" vertical="center" textRotation="0" wrapText="1" indent="0" justifyLastLine="0" shrinkToFit="0" readingOrder="0"/>
    </dxf>
    <dxf>
      <fill>
        <patternFill patternType="solid">
          <fgColor indexed="64"/>
          <bgColor rgb="FFFFC000"/>
        </patternFill>
      </fill>
      <alignment horizontal="general" vertical="center" textRotation="0" wrapText="1" indent="0" justifyLastLine="0" shrinkToFit="0" readingOrder="0"/>
    </dxf>
    <dxf>
      <fill>
        <patternFill patternType="solid">
          <fgColor indexed="64"/>
          <bgColor rgb="FFFFC000"/>
        </patternFill>
      </fill>
      <alignment horizontal="general" vertical="center" textRotation="0" wrapText="1" indent="0" justifyLastLine="0" shrinkToFit="0" readingOrder="0"/>
    </dxf>
    <dxf>
      <fill>
        <patternFill patternType="solid">
          <fgColor indexed="64"/>
          <bgColor rgb="FFFFC000"/>
        </patternFill>
      </fill>
      <alignment horizontal="general" vertical="center" textRotation="0" wrapText="1" indent="0" justifyLastLine="0" shrinkToFit="0" readingOrder="0"/>
    </dxf>
    <dxf>
      <fill>
        <patternFill patternType="solid">
          <fgColor indexed="64"/>
          <bgColor rgb="FFFFC000"/>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68DA6A-7F33-4A76-AFED-8AFDB1F3F030}" name="Tabla5" displayName="Tabla5" ref="A1:I13" totalsRowShown="0" headerRowDxfId="47" dataDxfId="46">
  <autoFilter ref="A1:I13" xr:uid="{101F6B7A-2949-44F0-A3ED-5E2436A81546}"/>
  <tableColumns count="9">
    <tableColumn id="1" xr3:uid="{812B8B45-17FD-4CFE-A343-BE7556FC99DA}" name="ID" dataDxfId="45"/>
    <tableColumn id="3" xr3:uid="{E052151D-A032-4AD4-9A1F-EE78D3686B77}" name="Pregunta de Negocio" dataDxfId="44"/>
    <tableColumn id="4" xr3:uid="{968B9C4F-5EA1-4B13-9DFE-BE85E6B0CF72}" name="Prioridad" dataDxfId="43"/>
    <tableColumn id="5" xr3:uid="{4B8E7677-0AB8-4554-85EC-CB73E8E70893}" name="Estado" dataDxfId="42"/>
    <tableColumn id="6" xr3:uid="{282038B0-D650-4C2E-92CE-83E5EA03D941}" name="Evidencia (¿Qué encontramos?)" dataDxfId="41"/>
    <tableColumn id="7" xr3:uid="{6198FEA5-1306-4AB7-9A4C-3B81C6ACF2F2}" name="Fuentes validadas" dataDxfId="40"/>
    <tableColumn id="8" xr3:uid="{97D4DD86-87DA-4042-82E6-F39A73998A80}" name="Nivel de confianza" dataDxfId="39"/>
    <tableColumn id="9" xr3:uid="{BD100042-E67E-4378-98F3-F128EA08F38A}" name="Insight (¿Qué significa?)" dataDxfId="38"/>
    <tableColumn id="10" xr3:uid="{444090B3-AC97-4204-9A6B-C1AA04A78D1C}" name="Implicancia para Marketing" dataDxf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681206-C795-4D7F-AF82-E39F0DB82FF5}" name="Tabla2" displayName="Tabla2" ref="A1:E6" totalsRowShown="0" headerRowDxfId="36" dataDxfId="35">
  <autoFilter ref="A1:E6" xr:uid="{1DC3310D-8E93-4C62-99B9-2A373D33275C}"/>
  <tableColumns count="5">
    <tableColumn id="1" xr3:uid="{EABEB9A4-5575-4E2A-9A5B-0AB663357B72}" name="Prioridad" dataDxfId="34"/>
    <tableColumn id="2" xr3:uid="{4ADCE018-D872-4D5E-8A4B-F5FD24698659}" name="Objetivo de investigación" dataDxfId="33"/>
    <tableColumn id="3" xr3:uid="{4407B769-3EE7-49EE-866A-C7BCB8A27D0E}" name="Método de validación" dataDxfId="32"/>
    <tableColumn id="4" xr3:uid="{A2BB280B-3CFE-48E9-942A-61BAB0499166}" name="Entregable esperado" dataDxfId="31"/>
    <tableColumn id="5" xr3:uid="{30471A31-FDE9-4B67-8171-CD23718A7020}" name="Estado"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2C45A2-2E11-4FB9-807D-38D1D0042221}" name="Tabla1" displayName="Tabla1" ref="A1:L15" totalsRowShown="0" headerRowDxfId="29" headerRowBorderDxfId="28" tableBorderDxfId="27">
  <autoFilter ref="A1:L15" xr:uid="{836981C4-4FDF-4950-B24F-53880142EB27}"/>
  <tableColumns count="12">
    <tableColumn id="1" xr3:uid="{728BD481-47F5-4DE5-99C1-8E7C7F8914A0}" name="ID" dataDxfId="26"/>
    <tableColumn id="2" xr3:uid="{17FA937B-D62A-46F5-A63E-2F1F528B7612}" name="Cargo encontrado"/>
    <tableColumn id="3" xr3:uid="{0946D06A-DFA1-4F43-A3D7-97B2A21F9541}" name="Empresa"/>
    <tableColumn id="4" xr3:uid="{850D9427-5A3B-4EA7-9F81-13C3E6094DC4}" name="Tipo de empresa"/>
    <tableColumn id="5" xr3:uid="{49F2C910-54B2-4254-ADEA-F0D22DF7779E}" name="País" dataDxfId="25"/>
    <tableColumn id="6" xr3:uid="{2AD010D8-4DB3-4235-80C7-DB44437287EF}" name="Nivel de decisión" dataDxfId="24"/>
    <tableColumn id="7" xr3:uid="{317E6066-6BC7-4349-BCF2-F9976206A712}" name="Coincide con audiencia" dataDxfId="23"/>
    <tableColumn id="8" xr3:uid="{231AE3B4-3526-4B70-9D75-9241D721695A}" name="Responsabilidades relevantes"/>
    <tableColumn id="9" xr3:uid="{65FAA303-C845-4870-A484-66E875C1C330}" name="KPIs / Objetivos mencionados" dataDxfId="22"/>
    <tableColumn id="10" xr3:uid="{1B423869-C688-4F41-9B85-06490C649ACA}" name="link"/>
    <tableColumn id="11" xr3:uid="{92443AB7-303D-4FFA-8FC0-BE1AA5052506}" name="Herramientas / Tecnologías"/>
    <tableColumn id="12" xr3:uid="{97809175-98DC-4687-B7D6-93D5012D0F06}" name="Observaciones e Insigh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879B1D-A88F-415D-8C2D-B7E47B740234}" name="Tabla3" displayName="Tabla3" ref="A1:D10" totalsRowShown="0" headerRowDxfId="20">
  <autoFilter ref="A1:D10" xr:uid="{C5AC38CF-3596-4DFF-9E87-1C9899699DD7}"/>
  <tableColumns count="4">
    <tableColumn id="1" xr3:uid="{CDD22E0D-77FA-4494-BBA9-6A7B5C9C055C}" name="KPI normalizado" dataDxfId="14"/>
    <tableColumn id="2" xr3:uid="{749433D0-0094-4905-BED4-33BAD8C87164}" name="Frecuencia" dataDxfId="12"/>
    <tableColumn id="3" xr3:uid="{82FDAB2F-0C0D-4996-95A0-7C6F2D577E91}" name="Evidencia encontrada" dataDxfId="13"/>
    <tableColumn id="4" xr3:uid="{EA0B4C4B-D366-4494-9B40-393D73F7C517}" name="Registros donde aparece" dataDxf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CD8C151-B0F9-4B9B-A26E-AA0480A2DBDD}" name="Tabla6" displayName="Tabla6" ref="A1:D7" totalsRowShown="0" headerRowDxfId="11">
  <autoFilter ref="A1:D7" xr:uid="{683B7A06-298E-48E8-AA61-3AB91D957877}"/>
  <tableColumns count="4">
    <tableColumn id="1" xr3:uid="{09FE26BD-0AEE-4F80-9E62-DD52FE3E3EB2}" name="Herramienta normalizada" dataDxfId="10"/>
    <tableColumn id="2" xr3:uid="{8D1EAA81-B7A4-46EB-BDAB-32A4CF94B05C}" name="Frecuencia" dataDxfId="9"/>
    <tableColumn id="3" xr3:uid="{A7E83924-5F83-42E5-8D56-C57707C5D8A9}" name="Evidencia encontrada" dataDxfId="8"/>
    <tableColumn id="4" xr3:uid="{F9E47BC4-E3F1-43FC-8D8F-39216B9E8316}" name="Registros donde aparece" dataDxfId="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52E745-CD73-47B4-8FCD-7E60B373DBEB}" name="Tabla4" displayName="Tabla4" ref="A3:D13" totalsRowShown="0" headerRowDxfId="15">
  <autoFilter ref="A3:D13" xr:uid="{F1371623-530C-47A7-BB74-2788DF740A22}"/>
  <tableColumns count="4">
    <tableColumn id="1" xr3:uid="{8887BF70-73C8-42CB-8A17-DCEF8B5F274D}" name="Pain Point normalizado" dataDxfId="19"/>
    <tableColumn id="2" xr3:uid="{7B2CA7BE-0B65-46F4-B2AB-C653D0CA84D4}" name="Frecuencia" dataDxfId="18"/>
    <tableColumn id="3" xr3:uid="{FD6D4B80-D1A6-4155-8CF9-2B17F69C64B0}" name="Evidencia encontrada" dataDxfId="17"/>
    <tableColumn id="4" xr3:uid="{4AD727BC-9288-485D-94F1-58536D9CC991}" name="Registros / Fuentes donde aparece" dataDxfId="1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C595B8-A2FB-4B6A-8D13-EBDAF95E5869}" name="Tabla7" displayName="Tabla7" ref="A1:E8" totalsRowShown="0" headerRowDxfId="0" dataDxfId="1">
  <autoFilter ref="A1:E8" xr:uid="{BBA54696-E588-4DC1-B5A1-47B4DB2D44A9}"/>
  <tableColumns count="5">
    <tableColumn id="1" xr3:uid="{F2516E1B-322F-4AEF-A198-8DAFCC449F39}" name="Insight normalizado" dataDxfId="6"/>
    <tableColumn id="2" xr3:uid="{1DB6A1C0-FA9E-46D2-8E49-50B271D1C77D}" name="Frecuencia / Evidencia" dataDxfId="5"/>
    <tableColumn id="3" xr3:uid="{088EEBCE-162C-460D-875F-9F82F98A1F54}" name="¿De dónde surge?" dataDxfId="4"/>
    <tableColumn id="4" xr3:uid="{BF5392C9-C63F-4857-ABB7-D509D6077514}" name="Implicancia" dataDxfId="3"/>
    <tableColumn id="5" xr3:uid="{3193440F-C5D0-4A23-A633-CFB4CDD9FE37}" name="Total de muestra"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4436628690/" TargetMode="External"/><Relationship Id="rId13" Type="http://schemas.openxmlformats.org/officeDocument/2006/relationships/hyperlink" Target="https://www.linkedin.com/jobs/view/4423176098/" TargetMode="External"/><Relationship Id="rId3" Type="http://schemas.openxmlformats.org/officeDocument/2006/relationships/hyperlink" Target="https://www.linkedin.com/jobs/view/4441583120/" TargetMode="External"/><Relationship Id="rId7" Type="http://schemas.openxmlformats.org/officeDocument/2006/relationships/hyperlink" Target="https://www.linkedin.com/jobs/view/4422678014/" TargetMode="External"/><Relationship Id="rId12" Type="http://schemas.openxmlformats.org/officeDocument/2006/relationships/hyperlink" Target="https://www.linkedin.com/jobs/view/4441988136/" TargetMode="External"/><Relationship Id="rId2" Type="http://schemas.openxmlformats.org/officeDocument/2006/relationships/hyperlink" Target="https://www.linkedin.com/jobs/view/4436610601/" TargetMode="External"/><Relationship Id="rId1" Type="http://schemas.openxmlformats.org/officeDocument/2006/relationships/hyperlink" Target="https://www.linkedin.com/jobs/view/4412179287/" TargetMode="External"/><Relationship Id="rId6" Type="http://schemas.openxmlformats.org/officeDocument/2006/relationships/hyperlink" Target="https://www.linkedin.com/jobs/view/4440930957/" TargetMode="External"/><Relationship Id="rId11" Type="http://schemas.openxmlformats.org/officeDocument/2006/relationships/hyperlink" Target="https://www.linkedin.com/jobs/view/4439554558/" TargetMode="External"/><Relationship Id="rId5" Type="http://schemas.openxmlformats.org/officeDocument/2006/relationships/hyperlink" Target="https://www.linkedin.com/jobs/view/4443043652/" TargetMode="External"/><Relationship Id="rId10" Type="http://schemas.openxmlformats.org/officeDocument/2006/relationships/hyperlink" Target="https://www.linkedin.com/jobs/view/4429377632/" TargetMode="External"/><Relationship Id="rId4" Type="http://schemas.openxmlformats.org/officeDocument/2006/relationships/hyperlink" Target="https://www.linkedin.com/jobs/view/4443046613/" TargetMode="External"/><Relationship Id="rId9" Type="http://schemas.openxmlformats.org/officeDocument/2006/relationships/hyperlink" Target="https://www.linkedin.com/jobs/view/4439895971/" TargetMode="External"/><Relationship Id="rId1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B50D5-5EA3-48C7-BB13-ACEF9B7A9EA4}">
  <sheetPr codeName="Hoja1"/>
  <dimension ref="A1:A16"/>
  <sheetViews>
    <sheetView workbookViewId="0"/>
  </sheetViews>
  <sheetFormatPr baseColWidth="10" defaultRowHeight="14.4" x14ac:dyDescent="0.3"/>
  <sheetData>
    <row r="1" spans="1:1" ht="31.2" customHeight="1" x14ac:dyDescent="0.3">
      <c r="A1" t="s">
        <v>24</v>
      </c>
    </row>
    <row r="2" spans="1:1" x14ac:dyDescent="0.3">
      <c r="A2" s="3"/>
    </row>
    <row r="3" spans="1:1" x14ac:dyDescent="0.3">
      <c r="A3" s="4" t="s">
        <v>20</v>
      </c>
    </row>
    <row r="4" spans="1:1" x14ac:dyDescent="0.3">
      <c r="A4" s="5"/>
    </row>
    <row r="5" spans="1:1" x14ac:dyDescent="0.3">
      <c r="A5" s="5" t="s">
        <v>21</v>
      </c>
    </row>
    <row r="6" spans="1:1" x14ac:dyDescent="0.3">
      <c r="A6" s="5" t="s">
        <v>22</v>
      </c>
    </row>
    <row r="7" spans="1:1" x14ac:dyDescent="0.3">
      <c r="A7" s="5" t="s">
        <v>23</v>
      </c>
    </row>
    <row r="10" spans="1:1" x14ac:dyDescent="0.3">
      <c r="A10" t="s">
        <v>15</v>
      </c>
    </row>
    <row r="11" spans="1:1" x14ac:dyDescent="0.3">
      <c r="A11" s="3"/>
    </row>
    <row r="12" spans="1:1" x14ac:dyDescent="0.3">
      <c r="A12" s="4" t="s">
        <v>16</v>
      </c>
    </row>
    <row r="13" spans="1:1" x14ac:dyDescent="0.3">
      <c r="A13" s="4" t="s">
        <v>17</v>
      </c>
    </row>
    <row r="14" spans="1:1" x14ac:dyDescent="0.3">
      <c r="A14" s="4" t="s">
        <v>18</v>
      </c>
    </row>
    <row r="16" spans="1:1" x14ac:dyDescent="0.3">
      <c r="A16"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B33FE-FBD9-472D-B588-5CDD9BAA4289}">
  <sheetPr codeName="Hoja2"/>
  <dimension ref="A1:D6"/>
  <sheetViews>
    <sheetView workbookViewId="0">
      <selection activeCell="B9" sqref="B9"/>
    </sheetView>
  </sheetViews>
  <sheetFormatPr baseColWidth="10" defaultRowHeight="14.4" x14ac:dyDescent="0.3"/>
  <cols>
    <col min="1" max="1" width="18.44140625" customWidth="1"/>
    <col min="2" max="2" width="31.6640625" customWidth="1"/>
    <col min="3" max="3" width="43.44140625" customWidth="1"/>
  </cols>
  <sheetData>
    <row r="1" spans="1:4" x14ac:dyDescent="0.3">
      <c r="A1" s="1" t="s">
        <v>162</v>
      </c>
      <c r="B1" s="1" t="s">
        <v>163</v>
      </c>
      <c r="C1" s="1" t="s">
        <v>164</v>
      </c>
    </row>
    <row r="2" spans="1:4" ht="49.95" customHeight="1" x14ac:dyDescent="0.3">
      <c r="A2" s="2">
        <v>1</v>
      </c>
      <c r="B2" s="9" t="s">
        <v>165</v>
      </c>
      <c r="C2" s="2" t="s">
        <v>166</v>
      </c>
      <c r="D2" t="s">
        <v>175</v>
      </c>
    </row>
    <row r="3" spans="1:4" ht="49.95" customHeight="1" x14ac:dyDescent="0.3">
      <c r="A3" s="2">
        <v>2</v>
      </c>
      <c r="B3" s="9" t="s">
        <v>167</v>
      </c>
      <c r="C3" s="2" t="s">
        <v>168</v>
      </c>
      <c r="D3" t="s">
        <v>175</v>
      </c>
    </row>
    <row r="4" spans="1:4" ht="49.95" customHeight="1" x14ac:dyDescent="0.3">
      <c r="A4" s="2">
        <v>3</v>
      </c>
      <c r="B4" s="9" t="s">
        <v>169</v>
      </c>
      <c r="C4" s="2" t="s">
        <v>170</v>
      </c>
      <c r="D4" t="s">
        <v>175</v>
      </c>
    </row>
    <row r="5" spans="1:4" ht="49.95" customHeight="1" x14ac:dyDescent="0.3">
      <c r="A5" s="2">
        <v>4</v>
      </c>
      <c r="B5" s="9" t="s">
        <v>171</v>
      </c>
      <c r="C5" s="2" t="s">
        <v>172</v>
      </c>
      <c r="D5" t="s">
        <v>175</v>
      </c>
    </row>
    <row r="6" spans="1:4" ht="49.95" customHeight="1" x14ac:dyDescent="0.3">
      <c r="A6" s="2">
        <v>5</v>
      </c>
      <c r="B6" s="9" t="s">
        <v>173</v>
      </c>
      <c r="C6" s="2" t="s">
        <v>174</v>
      </c>
      <c r="D6"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50BE-B9E4-4CCD-BB4D-C6C7B5A68353}">
  <sheetPr codeName="Hoja3"/>
  <dimension ref="A1:I13"/>
  <sheetViews>
    <sheetView topLeftCell="C7" zoomScaleNormal="100" workbookViewId="0">
      <selection activeCell="F3" sqref="F3"/>
    </sheetView>
  </sheetViews>
  <sheetFormatPr baseColWidth="10" defaultRowHeight="14.4" x14ac:dyDescent="0.3"/>
  <cols>
    <col min="2" max="2" width="40.109375" customWidth="1"/>
    <col min="3" max="3" width="19.109375" customWidth="1"/>
    <col min="4" max="4" width="23.33203125" customWidth="1"/>
    <col min="5" max="5" width="52" customWidth="1"/>
    <col min="6" max="6" width="36.33203125" customWidth="1"/>
    <col min="7" max="7" width="28.109375" customWidth="1"/>
    <col min="8" max="8" width="43" customWidth="1"/>
    <col min="9" max="9" width="39" customWidth="1"/>
  </cols>
  <sheetData>
    <row r="1" spans="1:9" x14ac:dyDescent="0.3">
      <c r="A1" s="1" t="s">
        <v>25</v>
      </c>
      <c r="B1" s="1" t="s">
        <v>26</v>
      </c>
      <c r="C1" s="1" t="s">
        <v>4</v>
      </c>
      <c r="D1" s="1" t="s">
        <v>8</v>
      </c>
      <c r="E1" s="1" t="s">
        <v>27</v>
      </c>
      <c r="F1" s="1" t="s">
        <v>28</v>
      </c>
      <c r="G1" s="1" t="s">
        <v>29</v>
      </c>
      <c r="H1" s="1" t="s">
        <v>30</v>
      </c>
      <c r="I1" s="1" t="s">
        <v>31</v>
      </c>
    </row>
    <row r="2" spans="1:9" ht="94.8" customHeight="1" x14ac:dyDescent="0.3">
      <c r="A2" s="23">
        <v>1</v>
      </c>
      <c r="B2" s="23" t="s">
        <v>32</v>
      </c>
      <c r="C2" s="23" t="s">
        <v>33</v>
      </c>
      <c r="D2" s="22" t="s">
        <v>282</v>
      </c>
      <c r="E2" s="23" t="s">
        <v>116</v>
      </c>
      <c r="F2" s="23" t="s">
        <v>117</v>
      </c>
      <c r="G2" s="23" t="s">
        <v>118</v>
      </c>
      <c r="H2" s="23" t="s">
        <v>119</v>
      </c>
      <c r="I2" s="23" t="s">
        <v>120</v>
      </c>
    </row>
    <row r="3" spans="1:9" ht="60" customHeight="1" x14ac:dyDescent="0.3">
      <c r="A3" s="23">
        <v>2</v>
      </c>
      <c r="B3" s="23" t="s">
        <v>34</v>
      </c>
      <c r="C3" s="23" t="s">
        <v>33</v>
      </c>
      <c r="D3" s="22" t="s">
        <v>282</v>
      </c>
      <c r="E3" s="23" t="s">
        <v>121</v>
      </c>
      <c r="F3" s="23" t="s">
        <v>122</v>
      </c>
      <c r="G3" s="23" t="s">
        <v>118</v>
      </c>
      <c r="H3" s="23" t="s">
        <v>123</v>
      </c>
      <c r="I3" s="23" t="s">
        <v>124</v>
      </c>
    </row>
    <row r="4" spans="1:9" ht="60" customHeight="1" x14ac:dyDescent="0.3">
      <c r="A4" s="23">
        <v>3</v>
      </c>
      <c r="B4" s="23" t="s">
        <v>35</v>
      </c>
      <c r="C4" s="23" t="s">
        <v>33</v>
      </c>
      <c r="D4" s="22" t="s">
        <v>282</v>
      </c>
      <c r="E4" s="23" t="s">
        <v>125</v>
      </c>
      <c r="F4" s="23" t="s">
        <v>285</v>
      </c>
      <c r="G4" s="23" t="s">
        <v>118</v>
      </c>
      <c r="H4" s="23" t="s">
        <v>126</v>
      </c>
      <c r="I4" s="23" t="s">
        <v>127</v>
      </c>
    </row>
    <row r="5" spans="1:9" ht="102.6" customHeight="1" x14ac:dyDescent="0.3">
      <c r="A5" s="23">
        <v>4</v>
      </c>
      <c r="B5" s="23" t="s">
        <v>36</v>
      </c>
      <c r="C5" s="23" t="s">
        <v>33</v>
      </c>
      <c r="D5" s="22" t="s">
        <v>282</v>
      </c>
      <c r="E5" s="23" t="s">
        <v>265</v>
      </c>
      <c r="F5" s="23" t="s">
        <v>266</v>
      </c>
      <c r="G5" s="23" t="s">
        <v>128</v>
      </c>
      <c r="H5" s="23" t="s">
        <v>129</v>
      </c>
      <c r="I5" s="23" t="s">
        <v>267</v>
      </c>
    </row>
    <row r="6" spans="1:9" ht="129" customHeight="1" x14ac:dyDescent="0.3">
      <c r="A6" s="23">
        <v>5</v>
      </c>
      <c r="B6" s="23" t="s">
        <v>37</v>
      </c>
      <c r="C6" s="23" t="s">
        <v>33</v>
      </c>
      <c r="D6" s="22" t="s">
        <v>282</v>
      </c>
      <c r="E6" s="23" t="s">
        <v>272</v>
      </c>
      <c r="F6" s="23" t="s">
        <v>271</v>
      </c>
      <c r="G6" s="23" t="s">
        <v>128</v>
      </c>
      <c r="H6" s="23" t="s">
        <v>130</v>
      </c>
      <c r="I6" s="23" t="s">
        <v>273</v>
      </c>
    </row>
    <row r="7" spans="1:9" ht="60" customHeight="1" x14ac:dyDescent="0.3">
      <c r="A7" s="23">
        <v>6</v>
      </c>
      <c r="B7" s="23" t="s">
        <v>38</v>
      </c>
      <c r="C7" s="23" t="s">
        <v>33</v>
      </c>
      <c r="D7" s="22" t="s">
        <v>282</v>
      </c>
      <c r="E7" s="23" t="s">
        <v>270</v>
      </c>
      <c r="F7" s="23" t="s">
        <v>268</v>
      </c>
      <c r="G7" s="23" t="s">
        <v>131</v>
      </c>
      <c r="H7" s="23" t="s">
        <v>132</v>
      </c>
      <c r="I7" s="23" t="s">
        <v>269</v>
      </c>
    </row>
    <row r="8" spans="1:9" ht="102" customHeight="1" x14ac:dyDescent="0.3">
      <c r="A8" s="23">
        <v>7</v>
      </c>
      <c r="B8" s="23" t="s">
        <v>39</v>
      </c>
      <c r="C8" s="23" t="s">
        <v>33</v>
      </c>
      <c r="D8" s="8" t="s">
        <v>283</v>
      </c>
      <c r="E8" s="23" t="s">
        <v>275</v>
      </c>
      <c r="F8" s="23" t="s">
        <v>274</v>
      </c>
      <c r="G8" s="23" t="s">
        <v>133</v>
      </c>
      <c r="H8" s="23" t="s">
        <v>134</v>
      </c>
      <c r="I8" s="23" t="s">
        <v>276</v>
      </c>
    </row>
    <row r="9" spans="1:9" ht="94.8" customHeight="1" x14ac:dyDescent="0.3">
      <c r="A9" s="23">
        <v>8</v>
      </c>
      <c r="B9" s="23" t="s">
        <v>40</v>
      </c>
      <c r="C9" s="23" t="s">
        <v>33</v>
      </c>
      <c r="D9" s="22" t="s">
        <v>282</v>
      </c>
      <c r="E9" s="23" t="s">
        <v>277</v>
      </c>
      <c r="F9" s="23" t="s">
        <v>135</v>
      </c>
      <c r="G9" s="23" t="s">
        <v>128</v>
      </c>
      <c r="H9" s="23" t="s">
        <v>136</v>
      </c>
      <c r="I9" s="23" t="s">
        <v>278</v>
      </c>
    </row>
    <row r="10" spans="1:9" ht="60" customHeight="1" x14ac:dyDescent="0.3">
      <c r="A10" s="23">
        <v>9</v>
      </c>
      <c r="B10" s="23" t="s">
        <v>41</v>
      </c>
      <c r="C10" s="23" t="s">
        <v>42</v>
      </c>
      <c r="D10" s="8" t="s">
        <v>284</v>
      </c>
      <c r="E10" s="23" t="s">
        <v>137</v>
      </c>
      <c r="F10" s="23" t="s">
        <v>138</v>
      </c>
      <c r="G10" s="23" t="s">
        <v>128</v>
      </c>
      <c r="H10" s="23" t="s">
        <v>139</v>
      </c>
      <c r="I10" s="23" t="s">
        <v>140</v>
      </c>
    </row>
    <row r="11" spans="1:9" ht="60" customHeight="1" x14ac:dyDescent="0.3">
      <c r="A11" s="23">
        <v>10</v>
      </c>
      <c r="B11" s="23" t="s">
        <v>43</v>
      </c>
      <c r="C11" s="23" t="s">
        <v>33</v>
      </c>
      <c r="D11" s="8" t="s">
        <v>284</v>
      </c>
      <c r="E11" s="23" t="s">
        <v>141</v>
      </c>
      <c r="F11" s="23" t="s">
        <v>142</v>
      </c>
      <c r="G11" s="23" t="s">
        <v>131</v>
      </c>
      <c r="H11" s="23" t="s">
        <v>143</v>
      </c>
      <c r="I11" s="23" t="s">
        <v>144</v>
      </c>
    </row>
    <row r="12" spans="1:9" ht="73.8" customHeight="1" x14ac:dyDescent="0.3">
      <c r="A12" s="23">
        <v>11</v>
      </c>
      <c r="B12" s="23" t="s">
        <v>44</v>
      </c>
      <c r="C12" s="23" t="s">
        <v>42</v>
      </c>
      <c r="D12" s="22" t="s">
        <v>282</v>
      </c>
      <c r="E12" s="23" t="s">
        <v>145</v>
      </c>
      <c r="F12" s="23" t="s">
        <v>146</v>
      </c>
      <c r="G12" s="23" t="s">
        <v>118</v>
      </c>
      <c r="H12" s="23" t="s">
        <v>147</v>
      </c>
      <c r="I12" s="23" t="s">
        <v>148</v>
      </c>
    </row>
    <row r="13" spans="1:9" ht="78" customHeight="1" x14ac:dyDescent="0.3">
      <c r="A13" s="23">
        <v>12</v>
      </c>
      <c r="B13" s="23" t="s">
        <v>45</v>
      </c>
      <c r="C13" s="23" t="s">
        <v>33</v>
      </c>
      <c r="D13" s="22" t="s">
        <v>282</v>
      </c>
      <c r="E13" s="23" t="s">
        <v>279</v>
      </c>
      <c r="F13" s="23" t="s">
        <v>280</v>
      </c>
      <c r="G13" s="23" t="s">
        <v>131</v>
      </c>
      <c r="H13" s="23" t="s">
        <v>149</v>
      </c>
      <c r="I13" s="23" t="s">
        <v>281</v>
      </c>
    </row>
  </sheetData>
  <conditionalFormatting sqref="D2">
    <cfRule type="iconSet" priority="1">
      <iconSet>
        <cfvo type="percent" val="0"/>
        <cfvo type="percent" val="33"/>
        <cfvo type="percent" val="67"/>
      </iconSet>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964AE-B389-4CC5-99DC-47B7D89C12D3}">
  <sheetPr codeName="Hoja4"/>
  <dimension ref="A1:E6"/>
  <sheetViews>
    <sheetView zoomScale="88" zoomScaleNormal="88" workbookViewId="0">
      <selection activeCell="E4" sqref="E4"/>
    </sheetView>
  </sheetViews>
  <sheetFormatPr baseColWidth="10" defaultRowHeight="14.4" x14ac:dyDescent="0.3"/>
  <cols>
    <col min="1" max="1" width="29" customWidth="1"/>
    <col min="2" max="2" width="31" customWidth="1"/>
    <col min="3" max="3" width="65.109375" customWidth="1"/>
    <col min="4" max="4" width="60.44140625" customWidth="1"/>
    <col min="5" max="5" width="30.44140625" customWidth="1"/>
  </cols>
  <sheetData>
    <row r="1" spans="1:5" ht="39" customHeight="1" x14ac:dyDescent="0.3">
      <c r="A1" s="1" t="s">
        <v>4</v>
      </c>
      <c r="B1" s="1" t="s">
        <v>5</v>
      </c>
      <c r="C1" s="1" t="s">
        <v>6</v>
      </c>
      <c r="D1" s="1" t="s">
        <v>7</v>
      </c>
      <c r="E1" s="1" t="s">
        <v>8</v>
      </c>
    </row>
    <row r="2" spans="1:5" ht="55.8" customHeight="1" x14ac:dyDescent="0.3">
      <c r="A2" s="2" t="s">
        <v>9</v>
      </c>
      <c r="B2" s="2" t="s">
        <v>150</v>
      </c>
      <c r="C2" s="2" t="s">
        <v>151</v>
      </c>
      <c r="D2" s="2" t="s">
        <v>152</v>
      </c>
      <c r="E2" s="9" t="s">
        <v>153</v>
      </c>
    </row>
    <row r="3" spans="1:5" ht="63.6" customHeight="1" x14ac:dyDescent="0.3">
      <c r="A3" s="2" t="s">
        <v>9</v>
      </c>
      <c r="B3" s="2" t="s">
        <v>10</v>
      </c>
      <c r="C3" s="2" t="s">
        <v>154</v>
      </c>
      <c r="D3" s="2" t="s">
        <v>155</v>
      </c>
      <c r="E3" s="9" t="s">
        <v>153</v>
      </c>
    </row>
    <row r="4" spans="1:5" ht="52.8" customHeight="1" x14ac:dyDescent="0.3">
      <c r="A4" s="2" t="s">
        <v>9</v>
      </c>
      <c r="B4" s="2" t="s">
        <v>11</v>
      </c>
      <c r="C4" s="2" t="s">
        <v>156</v>
      </c>
      <c r="D4" s="2" t="s">
        <v>157</v>
      </c>
      <c r="E4" s="9" t="s">
        <v>153</v>
      </c>
    </row>
    <row r="5" spans="1:5" ht="55.8" customHeight="1" x14ac:dyDescent="0.3">
      <c r="A5" s="2" t="s">
        <v>12</v>
      </c>
      <c r="B5" s="2" t="s">
        <v>13</v>
      </c>
      <c r="C5" s="2" t="s">
        <v>158</v>
      </c>
      <c r="D5" s="2" t="s">
        <v>159</v>
      </c>
      <c r="E5" s="9" t="s">
        <v>153</v>
      </c>
    </row>
    <row r="6" spans="1:5" ht="69.599999999999994" customHeight="1" x14ac:dyDescent="0.3">
      <c r="A6" s="2" t="s">
        <v>9</v>
      </c>
      <c r="B6" s="2" t="s">
        <v>14</v>
      </c>
      <c r="C6" s="2" t="s">
        <v>160</v>
      </c>
      <c r="D6" s="2" t="s">
        <v>161</v>
      </c>
      <c r="E6" s="9" t="s">
        <v>153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2D598-62EB-43E8-B2F2-6B6D25A6CCEA}">
  <sheetPr codeName="Hoja6"/>
  <dimension ref="A1:L15"/>
  <sheetViews>
    <sheetView workbookViewId="0">
      <selection sqref="A1:L15"/>
    </sheetView>
  </sheetViews>
  <sheetFormatPr baseColWidth="10" defaultRowHeight="14.4" x14ac:dyDescent="0.3"/>
  <cols>
    <col min="2" max="2" width="21.5546875" customWidth="1"/>
    <col min="3" max="3" width="20.44140625" customWidth="1"/>
    <col min="4" max="4" width="20.5546875" customWidth="1"/>
    <col min="5" max="5" width="14.5546875" customWidth="1"/>
    <col min="6" max="6" width="18.5546875" customWidth="1"/>
    <col min="7" max="7" width="21.77734375" customWidth="1"/>
    <col min="8" max="8" width="79.33203125" customWidth="1"/>
    <col min="9" max="9" width="36.33203125" customWidth="1"/>
    <col min="10" max="10" width="33.88671875" customWidth="1"/>
    <col min="11" max="11" width="30.77734375" customWidth="1"/>
    <col min="12" max="12" width="61.77734375" customWidth="1"/>
  </cols>
  <sheetData>
    <row r="1" spans="1:12" ht="43.8" customHeight="1" thickBot="1" x14ac:dyDescent="0.35">
      <c r="A1" s="20" t="s">
        <v>25</v>
      </c>
      <c r="B1" s="21" t="s">
        <v>0</v>
      </c>
      <c r="C1" s="21" t="s">
        <v>1</v>
      </c>
      <c r="D1" s="21" t="s">
        <v>62</v>
      </c>
      <c r="E1" s="21" t="s">
        <v>63</v>
      </c>
      <c r="F1" s="21" t="s">
        <v>64</v>
      </c>
      <c r="G1" s="21" t="s">
        <v>65</v>
      </c>
      <c r="H1" s="21" t="s">
        <v>2</v>
      </c>
      <c r="I1" s="21" t="s">
        <v>66</v>
      </c>
      <c r="J1" s="21" t="s">
        <v>181</v>
      </c>
      <c r="K1" s="21" t="s">
        <v>67</v>
      </c>
      <c r="L1" s="21" t="s">
        <v>68</v>
      </c>
    </row>
    <row r="2" spans="1:12" ht="64.95" customHeight="1" thickBot="1" x14ac:dyDescent="0.35">
      <c r="A2" s="18">
        <v>1</v>
      </c>
      <c r="B2" s="10" t="s">
        <v>3</v>
      </c>
      <c r="C2" s="10" t="s">
        <v>47</v>
      </c>
      <c r="D2" s="10" t="s">
        <v>69</v>
      </c>
      <c r="E2" s="10" t="s">
        <v>46</v>
      </c>
      <c r="F2" s="10" t="s">
        <v>70</v>
      </c>
      <c r="G2" s="10" t="s">
        <v>71</v>
      </c>
      <c r="H2" s="11" t="s">
        <v>72</v>
      </c>
      <c r="I2" s="11" t="s">
        <v>73</v>
      </c>
      <c r="J2" s="12" t="s">
        <v>48</v>
      </c>
      <c r="K2" s="11" t="s">
        <v>74</v>
      </c>
      <c r="L2" s="11" t="s">
        <v>182</v>
      </c>
    </row>
    <row r="3" spans="1:12" ht="64.95" customHeight="1" thickBot="1" x14ac:dyDescent="0.35">
      <c r="A3" s="18">
        <v>2</v>
      </c>
      <c r="B3" s="10" t="s">
        <v>75</v>
      </c>
      <c r="C3" s="10" t="s">
        <v>54</v>
      </c>
      <c r="D3" s="10" t="s">
        <v>76</v>
      </c>
      <c r="E3" s="10" t="s">
        <v>53</v>
      </c>
      <c r="F3" s="10" t="s">
        <v>77</v>
      </c>
      <c r="G3" s="10" t="s">
        <v>71</v>
      </c>
      <c r="H3" s="11" t="s">
        <v>78</v>
      </c>
      <c r="I3" s="11" t="s">
        <v>79</v>
      </c>
      <c r="J3" s="6" t="s">
        <v>52</v>
      </c>
      <c r="K3" s="11" t="s">
        <v>80</v>
      </c>
      <c r="L3" s="11" t="s">
        <v>183</v>
      </c>
    </row>
    <row r="4" spans="1:12" ht="64.95" customHeight="1" thickBot="1" x14ac:dyDescent="0.35">
      <c r="A4" s="18">
        <v>3</v>
      </c>
      <c r="B4" s="10" t="s">
        <v>81</v>
      </c>
      <c r="C4" s="10" t="s">
        <v>54</v>
      </c>
      <c r="D4" s="10" t="s">
        <v>76</v>
      </c>
      <c r="E4" s="10" t="s">
        <v>53</v>
      </c>
      <c r="F4" s="10" t="s">
        <v>70</v>
      </c>
      <c r="G4" s="10" t="s">
        <v>82</v>
      </c>
      <c r="H4" s="11" t="s">
        <v>83</v>
      </c>
      <c r="I4" s="11" t="s">
        <v>84</v>
      </c>
      <c r="J4" s="6" t="s">
        <v>55</v>
      </c>
      <c r="K4" s="11" t="s">
        <v>85</v>
      </c>
      <c r="L4" s="11" t="s">
        <v>86</v>
      </c>
    </row>
    <row r="5" spans="1:12" ht="64.95" customHeight="1" thickBot="1" x14ac:dyDescent="0.35">
      <c r="A5" s="18">
        <v>4</v>
      </c>
      <c r="B5" s="10" t="s">
        <v>60</v>
      </c>
      <c r="C5" s="10" t="s">
        <v>59</v>
      </c>
      <c r="D5" s="10" t="s">
        <v>87</v>
      </c>
      <c r="E5" s="10" t="s">
        <v>57</v>
      </c>
      <c r="F5" s="10" t="s">
        <v>70</v>
      </c>
      <c r="G5" s="10" t="s">
        <v>356</v>
      </c>
      <c r="H5" s="11" t="s">
        <v>88</v>
      </c>
      <c r="I5" s="11" t="s">
        <v>89</v>
      </c>
      <c r="J5" s="7" t="s">
        <v>61</v>
      </c>
      <c r="K5" s="11" t="s">
        <v>90</v>
      </c>
      <c r="L5" s="11" t="s">
        <v>184</v>
      </c>
    </row>
    <row r="6" spans="1:12" ht="64.95" customHeight="1" thickBot="1" x14ac:dyDescent="0.35">
      <c r="A6" s="18">
        <v>5</v>
      </c>
      <c r="B6" s="10" t="s">
        <v>91</v>
      </c>
      <c r="C6" s="10" t="s">
        <v>92</v>
      </c>
      <c r="D6" s="10" t="s">
        <v>93</v>
      </c>
      <c r="E6" s="10" t="s">
        <v>49</v>
      </c>
      <c r="F6" s="10" t="s">
        <v>77</v>
      </c>
      <c r="G6" s="10" t="s">
        <v>355</v>
      </c>
      <c r="H6" s="11" t="s">
        <v>94</v>
      </c>
      <c r="I6" s="11" t="s">
        <v>95</v>
      </c>
      <c r="J6" s="7" t="s">
        <v>50</v>
      </c>
      <c r="K6" s="11" t="s">
        <v>96</v>
      </c>
      <c r="L6" s="11" t="s">
        <v>97</v>
      </c>
    </row>
    <row r="7" spans="1:12" ht="64.95" customHeight="1" thickBot="1" x14ac:dyDescent="0.35">
      <c r="A7" s="18">
        <v>6</v>
      </c>
      <c r="B7" s="10" t="s">
        <v>98</v>
      </c>
      <c r="C7" s="10" t="s">
        <v>92</v>
      </c>
      <c r="D7" s="10" t="s">
        <v>93</v>
      </c>
      <c r="E7" s="10" t="s">
        <v>49</v>
      </c>
      <c r="F7" s="10" t="s">
        <v>99</v>
      </c>
      <c r="G7" s="10" t="s">
        <v>357</v>
      </c>
      <c r="H7" s="11" t="s">
        <v>100</v>
      </c>
      <c r="I7" s="11" t="s">
        <v>101</v>
      </c>
      <c r="J7" s="7" t="s">
        <v>51</v>
      </c>
      <c r="K7" s="11" t="s">
        <v>102</v>
      </c>
      <c r="L7" s="11" t="s">
        <v>103</v>
      </c>
    </row>
    <row r="8" spans="1:12" ht="64.95" customHeight="1" thickBot="1" x14ac:dyDescent="0.35">
      <c r="A8" s="18">
        <v>7</v>
      </c>
      <c r="B8" s="10" t="s">
        <v>58</v>
      </c>
      <c r="C8" s="10" t="s">
        <v>104</v>
      </c>
      <c r="D8" s="10" t="s">
        <v>76</v>
      </c>
      <c r="E8" s="10" t="s">
        <v>57</v>
      </c>
      <c r="F8" s="10" t="s">
        <v>77</v>
      </c>
      <c r="G8" s="10" t="s">
        <v>358</v>
      </c>
      <c r="H8" s="11" t="s">
        <v>105</v>
      </c>
      <c r="I8" s="11" t="s">
        <v>106</v>
      </c>
      <c r="J8" s="7" t="s">
        <v>56</v>
      </c>
      <c r="K8" s="11" t="s">
        <v>107</v>
      </c>
      <c r="L8" s="11" t="s">
        <v>185</v>
      </c>
    </row>
    <row r="9" spans="1:12" ht="64.95" customHeight="1" thickBot="1" x14ac:dyDescent="0.35">
      <c r="A9" s="18">
        <v>8</v>
      </c>
      <c r="B9" s="13" t="s">
        <v>186</v>
      </c>
      <c r="C9" t="s">
        <v>187</v>
      </c>
      <c r="D9" t="s">
        <v>87</v>
      </c>
      <c r="E9" s="10" t="s">
        <v>109</v>
      </c>
      <c r="F9" s="13" t="s">
        <v>188</v>
      </c>
      <c r="G9" s="10" t="s">
        <v>71</v>
      </c>
      <c r="H9" s="14" t="s">
        <v>189</v>
      </c>
      <c r="I9" s="14" t="s">
        <v>190</v>
      </c>
      <c r="J9" t="s">
        <v>191</v>
      </c>
      <c r="K9" s="14" t="s">
        <v>192</v>
      </c>
      <c r="L9" s="14" t="s">
        <v>193</v>
      </c>
    </row>
    <row r="10" spans="1:12" ht="64.95" customHeight="1" thickBot="1" x14ac:dyDescent="0.35">
      <c r="A10" s="18">
        <v>9</v>
      </c>
      <c r="B10" t="s">
        <v>194</v>
      </c>
      <c r="C10" t="s">
        <v>195</v>
      </c>
      <c r="D10" t="s">
        <v>87</v>
      </c>
      <c r="E10" s="10" t="s">
        <v>109</v>
      </c>
      <c r="F10" s="13" t="s">
        <v>188</v>
      </c>
      <c r="G10" s="10" t="s">
        <v>71</v>
      </c>
      <c r="H10" s="11" t="s">
        <v>196</v>
      </c>
      <c r="I10" s="11" t="s">
        <v>197</v>
      </c>
      <c r="J10" s="12" t="s">
        <v>198</v>
      </c>
      <c r="K10" s="11" t="s">
        <v>199</v>
      </c>
      <c r="L10" s="11" t="s">
        <v>200</v>
      </c>
    </row>
    <row r="11" spans="1:12" ht="64.95" customHeight="1" thickBot="1" x14ac:dyDescent="0.35">
      <c r="A11" s="18">
        <v>10</v>
      </c>
      <c r="B11" t="s">
        <v>201</v>
      </c>
      <c r="C11" s="10" t="s">
        <v>112</v>
      </c>
      <c r="D11" t="s">
        <v>76</v>
      </c>
      <c r="E11" s="10" t="s">
        <v>109</v>
      </c>
      <c r="F11" s="10" t="s">
        <v>77</v>
      </c>
      <c r="G11" s="10" t="s">
        <v>71</v>
      </c>
      <c r="H11" s="11" t="s">
        <v>202</v>
      </c>
      <c r="I11" s="11" t="s">
        <v>203</v>
      </c>
      <c r="J11" s="12" t="s">
        <v>204</v>
      </c>
      <c r="K11" s="11" t="s">
        <v>205</v>
      </c>
      <c r="L11" s="11" t="s">
        <v>206</v>
      </c>
    </row>
    <row r="12" spans="1:12" ht="64.95" customHeight="1" thickBot="1" x14ac:dyDescent="0.35">
      <c r="A12" s="18">
        <v>11</v>
      </c>
      <c r="B12" t="s">
        <v>207</v>
      </c>
      <c r="C12" t="s">
        <v>111</v>
      </c>
      <c r="D12" s="10" t="s">
        <v>87</v>
      </c>
      <c r="E12" s="10" t="s">
        <v>109</v>
      </c>
      <c r="F12" s="10" t="s">
        <v>208</v>
      </c>
      <c r="G12" s="10" t="s">
        <v>71</v>
      </c>
      <c r="H12" s="11" t="s">
        <v>209</v>
      </c>
      <c r="I12" s="11" t="s">
        <v>210</v>
      </c>
      <c r="J12" s="12" t="s">
        <v>211</v>
      </c>
      <c r="K12" s="11" t="s">
        <v>212</v>
      </c>
      <c r="L12" s="11" t="s">
        <v>213</v>
      </c>
    </row>
    <row r="13" spans="1:12" ht="64.95" customHeight="1" thickBot="1" x14ac:dyDescent="0.35">
      <c r="A13" s="19">
        <v>12</v>
      </c>
      <c r="B13" t="s">
        <v>214</v>
      </c>
      <c r="C13" t="s">
        <v>108</v>
      </c>
      <c r="D13" t="s">
        <v>76</v>
      </c>
      <c r="E13" s="10" t="s">
        <v>109</v>
      </c>
      <c r="F13" s="13" t="s">
        <v>215</v>
      </c>
      <c r="G13" s="13" t="s">
        <v>216</v>
      </c>
      <c r="H13" s="14" t="s">
        <v>217</v>
      </c>
      <c r="I13" s="14" t="s">
        <v>218</v>
      </c>
      <c r="J13" s="15" t="s">
        <v>219</v>
      </c>
      <c r="K13" s="14" t="s">
        <v>220</v>
      </c>
      <c r="L13" s="14" t="s">
        <v>221</v>
      </c>
    </row>
    <row r="14" spans="1:12" ht="93.6" customHeight="1" thickBot="1" x14ac:dyDescent="0.35">
      <c r="A14" s="19">
        <v>13</v>
      </c>
      <c r="B14" t="s">
        <v>222</v>
      </c>
      <c r="C14" t="s">
        <v>108</v>
      </c>
      <c r="D14" t="s">
        <v>76</v>
      </c>
      <c r="E14" s="10" t="s">
        <v>109</v>
      </c>
      <c r="F14" s="13" t="s">
        <v>215</v>
      </c>
      <c r="G14" s="10" t="s">
        <v>71</v>
      </c>
      <c r="H14" s="2" t="s">
        <v>223</v>
      </c>
      <c r="I14" s="14" t="s">
        <v>224</v>
      </c>
      <c r="J14" s="16" t="s">
        <v>225</v>
      </c>
      <c r="K14" s="14" t="s">
        <v>226</v>
      </c>
      <c r="L14" s="14" t="s">
        <v>227</v>
      </c>
    </row>
    <row r="15" spans="1:12" ht="86.4" customHeight="1" thickBot="1" x14ac:dyDescent="0.35">
      <c r="A15" s="19">
        <v>14</v>
      </c>
      <c r="B15" t="s">
        <v>228</v>
      </c>
      <c r="C15" t="s">
        <v>110</v>
      </c>
      <c r="D15" t="s">
        <v>87</v>
      </c>
      <c r="E15" s="13" t="s">
        <v>109</v>
      </c>
      <c r="F15" s="13" t="s">
        <v>208</v>
      </c>
      <c r="G15" s="10" t="s">
        <v>71</v>
      </c>
      <c r="H15" s="14" t="s">
        <v>229</v>
      </c>
      <c r="I15" s="14" t="s">
        <v>230</v>
      </c>
      <c r="J15" s="16" t="s">
        <v>231</v>
      </c>
      <c r="K15" s="17" t="s">
        <v>232</v>
      </c>
      <c r="L15" s="17" t="s">
        <v>233</v>
      </c>
    </row>
  </sheetData>
  <hyperlinks>
    <hyperlink ref="J2" r:id="rId1" xr:uid="{B9FB84F0-CD21-4B69-89F8-B0DF08F77B2A}"/>
    <hyperlink ref="J7" r:id="rId2" xr:uid="{4E694ED9-EFE5-40D9-9E29-0CE1A4C273FF}"/>
    <hyperlink ref="J6" r:id="rId3" xr:uid="{9CAB74F4-D532-4C02-A8EC-7B16C06F4BE6}"/>
    <hyperlink ref="J3" r:id="rId4" xr:uid="{1EF63A8F-3640-4EF7-B4D3-7F064A6E80CD}"/>
    <hyperlink ref="J4" r:id="rId5" xr:uid="{23E5AB53-148B-40C6-A020-B529216F3C2E}"/>
    <hyperlink ref="J8" r:id="rId6" xr:uid="{BE606BEA-CE73-4223-9A6B-162C071385E6}"/>
    <hyperlink ref="J5" r:id="rId7" xr:uid="{572C6593-4EBD-4D7F-AB94-9B5F58107220}"/>
    <hyperlink ref="J10" r:id="rId8" xr:uid="{217474F3-261C-4D70-B53E-DB4794D0B0B5}"/>
    <hyperlink ref="J11" r:id="rId9" xr:uid="{E2DEEAAD-9B06-4E87-A318-2A577FECD690}"/>
    <hyperlink ref="J12" r:id="rId10" xr:uid="{70987F40-3C06-4753-9B22-136A79D26D23}"/>
    <hyperlink ref="J14" r:id="rId11" xr:uid="{7CBF2AB1-7424-4306-9A56-4D44F9D2502F}"/>
    <hyperlink ref="J13" r:id="rId12" xr:uid="{5D72DCA2-C705-47D2-B5A9-D888D7AED74A}"/>
    <hyperlink ref="J15" r:id="rId13" xr:uid="{7FAB1962-2587-47E8-B508-EA83F581AF5C}"/>
  </hyperlinks>
  <pageMargins left="0.7" right="0.7" top="0.75" bottom="0.75" header="0.3" footer="0.3"/>
  <tableParts count="1">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0DE50-6FA4-41C9-81F0-B62EFE9582C4}">
  <sheetPr codeName="Hoja7"/>
  <dimension ref="A1:D12"/>
  <sheetViews>
    <sheetView tabSelected="1" workbookViewId="0">
      <selection activeCell="B6" sqref="B6"/>
    </sheetView>
  </sheetViews>
  <sheetFormatPr baseColWidth="10" defaultRowHeight="14.4" x14ac:dyDescent="0.3"/>
  <cols>
    <col min="1" max="1" width="34.5546875" customWidth="1"/>
    <col min="2" max="2" width="14.44140625" customWidth="1"/>
    <col min="3" max="3" width="97.77734375" customWidth="1"/>
    <col min="4" max="4" width="25.88671875" customWidth="1"/>
  </cols>
  <sheetData>
    <row r="1" spans="1:4" ht="51" customHeight="1" x14ac:dyDescent="0.3">
      <c r="A1" s="1" t="s">
        <v>238</v>
      </c>
      <c r="B1" s="1" t="s">
        <v>113</v>
      </c>
      <c r="C1" s="1" t="s">
        <v>240</v>
      </c>
      <c r="D1" s="1" t="s">
        <v>239</v>
      </c>
    </row>
    <row r="2" spans="1:4" ht="57" customHeight="1" x14ac:dyDescent="0.3">
      <c r="A2" s="9" t="s">
        <v>234</v>
      </c>
      <c r="B2" s="1">
        <v>9</v>
      </c>
      <c r="C2" s="2" t="s">
        <v>242</v>
      </c>
      <c r="D2" s="2" t="s">
        <v>241</v>
      </c>
    </row>
    <row r="3" spans="1:4" ht="42" customHeight="1" x14ac:dyDescent="0.3">
      <c r="A3" s="9" t="s">
        <v>235</v>
      </c>
      <c r="B3" s="1">
        <v>6</v>
      </c>
      <c r="C3" s="2" t="s">
        <v>244</v>
      </c>
      <c r="D3" s="2" t="s">
        <v>243</v>
      </c>
    </row>
    <row r="4" spans="1:4" ht="43.2" customHeight="1" x14ac:dyDescent="0.3">
      <c r="A4" s="9" t="s">
        <v>236</v>
      </c>
      <c r="B4" s="1">
        <v>5</v>
      </c>
      <c r="C4" s="2" t="s">
        <v>246</v>
      </c>
      <c r="D4" s="2" t="s">
        <v>245</v>
      </c>
    </row>
    <row r="5" spans="1:4" ht="48" customHeight="1" x14ac:dyDescent="0.3">
      <c r="A5" s="9" t="s">
        <v>247</v>
      </c>
      <c r="B5" s="1">
        <v>7</v>
      </c>
      <c r="C5" s="2" t="s">
        <v>249</v>
      </c>
      <c r="D5" s="2" t="s">
        <v>248</v>
      </c>
    </row>
    <row r="6" spans="1:4" ht="30" customHeight="1" x14ac:dyDescent="0.3">
      <c r="A6" s="9" t="s">
        <v>250</v>
      </c>
      <c r="B6" s="1">
        <v>2</v>
      </c>
      <c r="C6" s="2" t="s">
        <v>252</v>
      </c>
      <c r="D6" s="2" t="s">
        <v>251</v>
      </c>
    </row>
    <row r="7" spans="1:4" ht="30" customHeight="1" x14ac:dyDescent="0.3">
      <c r="A7" s="9" t="s">
        <v>114</v>
      </c>
      <c r="B7" s="1">
        <v>1</v>
      </c>
      <c r="C7" s="2" t="s">
        <v>253</v>
      </c>
      <c r="D7" s="2">
        <v>7</v>
      </c>
    </row>
    <row r="8" spans="1:4" ht="30" customHeight="1" x14ac:dyDescent="0.3">
      <c r="A8" s="9" t="s">
        <v>254</v>
      </c>
      <c r="B8" s="1">
        <v>1</v>
      </c>
      <c r="C8" s="2" t="s">
        <v>255</v>
      </c>
      <c r="D8" s="2">
        <v>13</v>
      </c>
    </row>
    <row r="9" spans="1:4" ht="30" customHeight="1" x14ac:dyDescent="0.3">
      <c r="A9" s="9" t="s">
        <v>115</v>
      </c>
      <c r="B9" s="1">
        <v>2</v>
      </c>
      <c r="C9" s="2" t="s">
        <v>257</v>
      </c>
      <c r="D9" s="2" t="s">
        <v>256</v>
      </c>
    </row>
    <row r="10" spans="1:4" ht="30" customHeight="1" x14ac:dyDescent="0.3">
      <c r="A10" s="9" t="s">
        <v>237</v>
      </c>
      <c r="B10" s="1">
        <v>7</v>
      </c>
      <c r="C10" s="2" t="s">
        <v>259</v>
      </c>
      <c r="D10" s="2" t="s">
        <v>258</v>
      </c>
    </row>
    <row r="11" spans="1:4" ht="30" customHeight="1" x14ac:dyDescent="0.3"/>
    <row r="12" spans="1:4" ht="93" customHeight="1" x14ac:dyDescent="0.3">
      <c r="A12" s="27" t="s">
        <v>318</v>
      </c>
      <c r="B12" s="27"/>
      <c r="C12" s="27"/>
      <c r="D12" s="27"/>
    </row>
  </sheetData>
  <mergeCells count="1">
    <mergeCell ref="A12:D1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3EAB7-9C69-47C1-AD27-3BEE66615EA1}">
  <sheetPr codeName="Hoja8"/>
  <dimension ref="A1:D9"/>
  <sheetViews>
    <sheetView workbookViewId="0">
      <selection sqref="A1:C7"/>
    </sheetView>
  </sheetViews>
  <sheetFormatPr baseColWidth="10" defaultRowHeight="14.4" x14ac:dyDescent="0.3"/>
  <cols>
    <col min="1" max="1" width="31.77734375" customWidth="1"/>
    <col min="2" max="2" width="16" customWidth="1"/>
    <col min="3" max="3" width="35.44140625" customWidth="1"/>
    <col min="4" max="4" width="33.6640625" customWidth="1"/>
  </cols>
  <sheetData>
    <row r="1" spans="1:4" ht="31.2" customHeight="1" x14ac:dyDescent="0.3">
      <c r="A1" s="1" t="s">
        <v>260</v>
      </c>
      <c r="B1" s="26" t="s">
        <v>113</v>
      </c>
      <c r="C1" s="1" t="s">
        <v>240</v>
      </c>
      <c r="D1" s="1" t="s">
        <v>239</v>
      </c>
    </row>
    <row r="2" spans="1:4" ht="34.799999999999997" customHeight="1" x14ac:dyDescent="0.3">
      <c r="A2" s="9" t="s">
        <v>176</v>
      </c>
      <c r="B2" s="1">
        <v>3</v>
      </c>
      <c r="C2" s="2" t="s">
        <v>261</v>
      </c>
      <c r="D2" s="25" t="s">
        <v>319</v>
      </c>
    </row>
    <row r="3" spans="1:4" ht="40.200000000000003" customHeight="1" x14ac:dyDescent="0.3">
      <c r="A3" s="9" t="s">
        <v>177</v>
      </c>
      <c r="B3" s="1">
        <v>2</v>
      </c>
      <c r="C3" s="2" t="s">
        <v>262</v>
      </c>
      <c r="D3" s="25" t="s">
        <v>320</v>
      </c>
    </row>
    <row r="4" spans="1:4" ht="33.6" customHeight="1" x14ac:dyDescent="0.3">
      <c r="A4" s="9" t="s">
        <v>178</v>
      </c>
      <c r="B4" s="1">
        <v>3</v>
      </c>
      <c r="C4" s="2" t="s">
        <v>321</v>
      </c>
      <c r="D4" s="25" t="s">
        <v>322</v>
      </c>
    </row>
    <row r="5" spans="1:4" ht="31.2" customHeight="1" x14ac:dyDescent="0.3">
      <c r="A5" s="9" t="s">
        <v>179</v>
      </c>
      <c r="B5" s="1">
        <v>4</v>
      </c>
      <c r="C5" s="2" t="s">
        <v>179</v>
      </c>
      <c r="D5" s="25" t="s">
        <v>323</v>
      </c>
    </row>
    <row r="6" spans="1:4" ht="19.95" customHeight="1" x14ac:dyDescent="0.3">
      <c r="A6" s="9" t="s">
        <v>180</v>
      </c>
      <c r="B6" s="1">
        <v>4</v>
      </c>
      <c r="C6" s="2" t="s">
        <v>180</v>
      </c>
      <c r="D6" s="25" t="s">
        <v>324</v>
      </c>
    </row>
    <row r="7" spans="1:4" ht="50.4" customHeight="1" x14ac:dyDescent="0.3">
      <c r="A7" s="9" t="s">
        <v>263</v>
      </c>
      <c r="B7" s="1">
        <v>6</v>
      </c>
      <c r="C7" s="2" t="s">
        <v>264</v>
      </c>
      <c r="D7" s="25" t="s">
        <v>325</v>
      </c>
    </row>
    <row r="9" spans="1:4" ht="205.8" customHeight="1" x14ac:dyDescent="0.3">
      <c r="A9" s="27" t="s">
        <v>326</v>
      </c>
      <c r="B9" s="28"/>
      <c r="C9" s="28"/>
      <c r="D9" s="28"/>
    </row>
  </sheetData>
  <mergeCells count="1">
    <mergeCell ref="A9:D9"/>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6176E-7C9F-47B5-AA72-41310746E708}">
  <dimension ref="A1:D13"/>
  <sheetViews>
    <sheetView workbookViewId="0">
      <selection activeCell="D23" sqref="D23"/>
    </sheetView>
  </sheetViews>
  <sheetFormatPr baseColWidth="10" defaultRowHeight="14.4" x14ac:dyDescent="0.3"/>
  <cols>
    <col min="1" max="1" width="23.109375" customWidth="1"/>
    <col min="2" max="2" width="15.109375" customWidth="1"/>
    <col min="3" max="3" width="45.77734375" customWidth="1"/>
    <col min="4" max="4" width="54.44140625" customWidth="1"/>
  </cols>
  <sheetData>
    <row r="1" spans="1:4" ht="70.2" customHeight="1" x14ac:dyDescent="0.3">
      <c r="A1" s="27" t="s">
        <v>317</v>
      </c>
      <c r="B1" s="27"/>
      <c r="C1" s="27"/>
      <c r="D1" s="27"/>
    </row>
    <row r="3" spans="1:4" ht="23.4" customHeight="1" x14ac:dyDescent="0.3">
      <c r="A3" s="1" t="s">
        <v>286</v>
      </c>
      <c r="B3" s="26" t="s">
        <v>113</v>
      </c>
      <c r="C3" s="1" t="s">
        <v>240</v>
      </c>
      <c r="D3" s="1" t="s">
        <v>287</v>
      </c>
    </row>
    <row r="4" spans="1:4" ht="43.2" x14ac:dyDescent="0.3">
      <c r="A4" s="9" t="s">
        <v>288</v>
      </c>
      <c r="B4" s="1">
        <v>5</v>
      </c>
      <c r="C4" s="2" t="s">
        <v>289</v>
      </c>
      <c r="D4" s="2" t="s">
        <v>290</v>
      </c>
    </row>
    <row r="5" spans="1:4" ht="28.8" x14ac:dyDescent="0.3">
      <c r="A5" s="9" t="s">
        <v>291</v>
      </c>
      <c r="B5" s="1">
        <v>6</v>
      </c>
      <c r="C5" s="2" t="s">
        <v>292</v>
      </c>
      <c r="D5" s="2" t="s">
        <v>293</v>
      </c>
    </row>
    <row r="6" spans="1:4" ht="28.8" x14ac:dyDescent="0.3">
      <c r="A6" s="9" t="s">
        <v>294</v>
      </c>
      <c r="B6" s="1">
        <v>5</v>
      </c>
      <c r="C6" s="2" t="s">
        <v>295</v>
      </c>
      <c r="D6" s="2" t="s">
        <v>296</v>
      </c>
    </row>
    <row r="7" spans="1:4" ht="28.8" x14ac:dyDescent="0.3">
      <c r="A7" s="9" t="s">
        <v>236</v>
      </c>
      <c r="B7" s="1">
        <v>6</v>
      </c>
      <c r="C7" s="2" t="s">
        <v>297</v>
      </c>
      <c r="D7" s="2" t="s">
        <v>298</v>
      </c>
    </row>
    <row r="8" spans="1:4" ht="28.8" x14ac:dyDescent="0.3">
      <c r="A8" s="9" t="s">
        <v>299</v>
      </c>
      <c r="B8" s="1">
        <v>6</v>
      </c>
      <c r="C8" s="2" t="s">
        <v>300</v>
      </c>
      <c r="D8" s="2" t="s">
        <v>301</v>
      </c>
    </row>
    <row r="9" spans="1:4" ht="28.8" x14ac:dyDescent="0.3">
      <c r="A9" s="9" t="s">
        <v>302</v>
      </c>
      <c r="B9" s="1">
        <v>4</v>
      </c>
      <c r="C9" s="2" t="s">
        <v>303</v>
      </c>
      <c r="D9" s="2" t="s">
        <v>304</v>
      </c>
    </row>
    <row r="10" spans="1:4" ht="28.8" x14ac:dyDescent="0.3">
      <c r="A10" s="9" t="s">
        <v>305</v>
      </c>
      <c r="B10" s="1">
        <v>2</v>
      </c>
      <c r="C10" s="2" t="s">
        <v>306</v>
      </c>
      <c r="D10" s="2" t="s">
        <v>307</v>
      </c>
    </row>
    <row r="11" spans="1:4" ht="28.8" x14ac:dyDescent="0.3">
      <c r="A11" s="9" t="s">
        <v>308</v>
      </c>
      <c r="B11" s="1">
        <v>3</v>
      </c>
      <c r="C11" s="2" t="s">
        <v>309</v>
      </c>
      <c r="D11" s="2" t="s">
        <v>310</v>
      </c>
    </row>
    <row r="12" spans="1:4" ht="28.8" x14ac:dyDescent="0.3">
      <c r="A12" s="9" t="s">
        <v>311</v>
      </c>
      <c r="B12" s="1">
        <v>7</v>
      </c>
      <c r="C12" s="2" t="s">
        <v>312</v>
      </c>
      <c r="D12" s="2" t="s">
        <v>313</v>
      </c>
    </row>
    <row r="13" spans="1:4" ht="28.8" x14ac:dyDescent="0.3">
      <c r="A13" s="9" t="s">
        <v>314</v>
      </c>
      <c r="B13" s="1">
        <v>4</v>
      </c>
      <c r="C13" s="2" t="s">
        <v>315</v>
      </c>
      <c r="D13" s="2" t="s">
        <v>316</v>
      </c>
    </row>
  </sheetData>
  <mergeCells count="1">
    <mergeCell ref="A1:D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23A0B-31EC-4F4C-8F91-8056EB22A329}">
  <sheetPr codeName="Hoja9"/>
  <dimension ref="A1:K8"/>
  <sheetViews>
    <sheetView workbookViewId="0">
      <selection sqref="A1:D8"/>
    </sheetView>
  </sheetViews>
  <sheetFormatPr baseColWidth="10" defaultRowHeight="14.4" x14ac:dyDescent="0.3"/>
  <cols>
    <col min="1" max="1" width="39.109375" customWidth="1"/>
    <col min="2" max="2" width="26.44140625" customWidth="1"/>
    <col min="3" max="3" width="27.21875" customWidth="1"/>
    <col min="4" max="4" width="36.33203125" customWidth="1"/>
    <col min="5" max="5" width="23.6640625" customWidth="1"/>
  </cols>
  <sheetData>
    <row r="1" spans="1:11" ht="35.4" customHeight="1" x14ac:dyDescent="0.3">
      <c r="A1" s="1" t="s">
        <v>327</v>
      </c>
      <c r="B1" s="1" t="s">
        <v>328</v>
      </c>
      <c r="C1" s="1" t="s">
        <v>329</v>
      </c>
      <c r="D1" s="1" t="s">
        <v>330</v>
      </c>
      <c r="E1" s="1" t="s">
        <v>352</v>
      </c>
    </row>
    <row r="2" spans="1:11" ht="82.2" customHeight="1" x14ac:dyDescent="0.3">
      <c r="A2" s="2" t="s">
        <v>331</v>
      </c>
      <c r="B2" s="24">
        <v>9</v>
      </c>
      <c r="C2" s="2" t="s">
        <v>333</v>
      </c>
      <c r="D2" s="2" t="s">
        <v>334</v>
      </c>
      <c r="E2" s="2" t="s">
        <v>332</v>
      </c>
      <c r="H2" s="2"/>
      <c r="J2" s="2"/>
      <c r="K2" s="2"/>
    </row>
    <row r="3" spans="1:11" ht="64.2" customHeight="1" x14ac:dyDescent="0.3">
      <c r="A3" s="2" t="s">
        <v>335</v>
      </c>
      <c r="B3" s="24">
        <v>6</v>
      </c>
      <c r="C3" s="2" t="s">
        <v>333</v>
      </c>
      <c r="D3" s="2" t="s">
        <v>337</v>
      </c>
      <c r="E3" s="2" t="s">
        <v>336</v>
      </c>
      <c r="H3" s="2"/>
      <c r="J3" s="2"/>
      <c r="K3" s="2"/>
    </row>
    <row r="4" spans="1:11" ht="43.8" customHeight="1" x14ac:dyDescent="0.3">
      <c r="A4" s="2" t="s">
        <v>338</v>
      </c>
      <c r="B4" s="24">
        <v>5</v>
      </c>
      <c r="C4" s="2" t="s">
        <v>340</v>
      </c>
      <c r="D4" s="2" t="s">
        <v>341</v>
      </c>
      <c r="E4" s="2" t="s">
        <v>339</v>
      </c>
      <c r="H4" s="2"/>
      <c r="J4" s="2"/>
      <c r="K4" s="2"/>
    </row>
    <row r="5" spans="1:11" ht="55.2" customHeight="1" x14ac:dyDescent="0.3">
      <c r="A5" s="2" t="s">
        <v>342</v>
      </c>
      <c r="B5" s="24">
        <v>7</v>
      </c>
      <c r="C5" s="2" t="s">
        <v>333</v>
      </c>
      <c r="D5" s="2" t="s">
        <v>344</v>
      </c>
      <c r="E5" s="2" t="s">
        <v>343</v>
      </c>
      <c r="H5" s="2"/>
      <c r="J5" s="2"/>
      <c r="K5" s="2"/>
    </row>
    <row r="6" spans="1:11" ht="55.8" customHeight="1" x14ac:dyDescent="0.3">
      <c r="A6" s="2" t="s">
        <v>345</v>
      </c>
      <c r="B6" s="24">
        <v>7</v>
      </c>
      <c r="C6" s="2" t="s">
        <v>346</v>
      </c>
      <c r="D6" s="2" t="s">
        <v>347</v>
      </c>
      <c r="E6" s="2" t="s">
        <v>343</v>
      </c>
      <c r="H6" s="2"/>
      <c r="J6" s="2"/>
      <c r="K6" s="2"/>
    </row>
    <row r="7" spans="1:11" ht="49.8" customHeight="1" x14ac:dyDescent="0.3">
      <c r="A7" s="2" t="s">
        <v>348</v>
      </c>
      <c r="B7" s="24">
        <v>5</v>
      </c>
      <c r="C7" s="2" t="s">
        <v>346</v>
      </c>
      <c r="D7" s="2" t="s">
        <v>349</v>
      </c>
      <c r="E7" s="2" t="s">
        <v>353</v>
      </c>
      <c r="H7" s="2"/>
      <c r="J7" s="2"/>
      <c r="K7" s="2"/>
    </row>
    <row r="8" spans="1:11" ht="43.2" customHeight="1" x14ac:dyDescent="0.3">
      <c r="A8" s="2" t="s">
        <v>350</v>
      </c>
      <c r="B8" s="24">
        <v>8</v>
      </c>
      <c r="C8" s="2" t="s">
        <v>346</v>
      </c>
      <c r="D8" s="2" t="s">
        <v>351</v>
      </c>
      <c r="E8" s="2" t="s">
        <v>354</v>
      </c>
      <c r="H8" s="2"/>
      <c r="J8" s="2"/>
      <c r="K8"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Guia</vt:lpstr>
      <vt:lpstr>glosario</vt:lpstr>
      <vt:lpstr>Audience Roles Validation Matri</vt:lpstr>
      <vt:lpstr>Project Research Plan</vt:lpstr>
      <vt:lpstr>Audience Research Database</vt:lpstr>
      <vt:lpstr>Fecuencia-KPis</vt:lpstr>
      <vt:lpstr>Frecuencia-herramientas</vt:lpstr>
      <vt:lpstr>Frecuencia de dolor</vt:lpstr>
      <vt:lpstr>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Inaes</dc:creator>
  <cp:lastModifiedBy>Inaes</cp:lastModifiedBy>
  <dcterms:created xsi:type="dcterms:W3CDTF">2026-07-25T18:24:06Z</dcterms:created>
  <dcterms:modified xsi:type="dcterms:W3CDTF">2026-07-26T23:12:45Z</dcterms:modified>
</cp:coreProperties>
</file>